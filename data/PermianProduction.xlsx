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nd349_uw_edu/Documents/Academics/PaperDrafts/TROPOMI/data/"/>
    </mc:Choice>
  </mc:AlternateContent>
  <xr:revisionPtr revIDLastSave="0" documentId="8_{B92992F2-DF87-4FAE-8F51-8C9DAAF9EC8F}" xr6:coauthVersionLast="47" xr6:coauthVersionMax="47" xr10:uidLastSave="{00000000-0000-0000-0000-000000000000}"/>
  <bookViews>
    <workbookView xWindow="57480" yWindow="2040" windowWidth="29040" windowHeight="15720" xr2:uid="{89F25045-E53E-4252-9F58-D73CD34599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" i="1"/>
</calcChain>
</file>

<file path=xl/sharedStrings.xml><?xml version="1.0" encoding="utf-8"?>
<sst xmlns="http://schemas.openxmlformats.org/spreadsheetml/2006/main" count="660" uniqueCount="41">
  <si>
    <t>Area-Formation of Interest</t>
  </si>
  <si>
    <t>PR Cycle Year</t>
  </si>
  <si>
    <t>PR Cycle Month</t>
  </si>
  <si>
    <t>PR Oil Production Volume (BBL)</t>
  </si>
  <si>
    <t>PR Casinghead Production Volume (MCF)</t>
  </si>
  <si>
    <t>PR Gas Production Volume (MCF)</t>
  </si>
  <si>
    <t>PR Condensate Production Volume (BBL)</t>
  </si>
  <si>
    <t>PERMIAN BASIN</t>
  </si>
  <si>
    <t>2008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</si>
  <si>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</si>
  <si>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</si>
  <si>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</si>
  <si>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</si>
  <si>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</si>
  <si>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</si>
  <si>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</si>
  <si>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</si>
  <si>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</si>
  <si>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</si>
  <si>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</si>
  <si>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</si>
  <si>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</si>
  <si>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</si>
  <si>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</si>
  <si>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</si>
  <si>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</si>
  <si>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</si>
  <si>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</si>
  <si>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</si>
  <si>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</si>
  <si>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</si>
  <si>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</si>
  <si>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</si>
  <si>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</si>
  <si>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</si>
  <si>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</si>
  <si>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</si>
  <si>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</si>
  <si>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</si>
  <si>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Total Gas Production Volume  (MCF)</t>
  </si>
  <si>
    <t>Total Oil Production Volume (BBL)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</si>
</sst>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Tahoma"/>
    </font>
    <font>
      <sz val="8"/>
      <color theme="1"/>
      <name val="Tahoma"/>
    </font>
  </fonts>
  <fills count="4">
    <fill>
      <patternFill patternType="none"/>
    </fill>
    <fill>
      <patternFill patternType="gray125"/>
    </fill>
    <fill>
      <patternFill patternType="solid">
        <fgColor rgb="FFCFE0F1"/>
      </patternFill>
    </fill>
    <fill>
      <patternFill patternType="solid">
        <fgColor rgb="FFDCDCDC"/>
      </patternFill>
    </fill>
  </fills>
  <borders count="5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 style="thin">
        <color rgb="FF777777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left" vertical="top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E208-643E-46D0-B5D2-701F9A3FE2F0}">
  <dimension ref="A1:J218"/>
  <sheetViews>
    <sheetView tabSelected="1" workbookViewId="0">
      <selection activeCell="H1" sqref="H1"/>
    </sheetView>
  </sheetViews>
  <sheetFormatPr defaultRowHeight="14.5" x14ac:dyDescent="0.35"/>
  <cols>
    <col min="1" max="1" width="22.36328125" customWidth="1"/>
    <col min="3" max="3" width="11.36328125" customWidth="1"/>
    <col min="4" max="4" width="13.26953125" customWidth="1"/>
    <col min="5" max="5" width="25.7265625" customWidth="1"/>
    <col min="6" max="6" width="32.1796875" customWidth="1"/>
    <col min="7" max="7" width="27.453125" customWidth="1"/>
    <col min="8" max="8" width="36.453125" customWidth="1"/>
    <col min="9" max="9" width="30.26953125" customWidth="1"/>
    <col min="10" max="10" width="27.54296875" customWidth="1"/>
  </cols>
  <sheetData>
    <row r="1" spans="1:10" ht="40" x14ac:dyDescent="0.35">
      <c r="A1" s="1" t="s">
        <v>0</v>
      </c>
      <c r="B1" s="2" t="s">
        <v>1</v>
      </c>
      <c r="C1" s="3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2" t="s">
        <v>39</v>
      </c>
      <c r="J1" s="12" t="s">
        <v>40</v>
      </c>
    </row>
    <row r="2" spans="1:10" ht="20" x14ac:dyDescent="0.35">
      <c r="A2" s="4" t="s">
        <v>7</v>
      </c>
      <c r="B2" s="5" t="s">
        <v>8</v>
      </c>
      <c r="C2" s="6"/>
      <c r="D2" s="4" t="s">
        <v>9</v>
      </c>
      <c r="E2" s="7">
        <v>21657270</v>
      </c>
      <c r="F2" s="7">
        <v>37304577</v>
      </c>
      <c r="G2" s="7">
        <v>64437901</v>
      </c>
      <c r="H2" s="7">
        <v>278284</v>
      </c>
      <c r="I2" s="13">
        <f>SUM(F2,G2)</f>
        <v>101742478</v>
      </c>
      <c r="J2" s="13">
        <f>SUM(E2, H2)</f>
        <v>21935554</v>
      </c>
    </row>
    <row r="3" spans="1:10" ht="20" x14ac:dyDescent="0.35">
      <c r="A3" s="8" t="s">
        <v>7</v>
      </c>
      <c r="B3" s="9" t="s">
        <v>8</v>
      </c>
      <c r="C3" s="10"/>
      <c r="D3" s="8" t="s">
        <v>10</v>
      </c>
      <c r="E3" s="11">
        <v>20402130</v>
      </c>
      <c r="F3" s="11">
        <v>36412210</v>
      </c>
      <c r="G3" s="11">
        <v>62092707</v>
      </c>
      <c r="H3" s="11">
        <v>271371</v>
      </c>
      <c r="I3" s="13">
        <f t="shared" ref="I3:I66" si="0">SUM(F3,G3)</f>
        <v>98504917</v>
      </c>
      <c r="J3" s="13">
        <f t="shared" ref="J3:J66" si="1">SUM(E3, H3)</f>
        <v>20673501</v>
      </c>
    </row>
    <row r="4" spans="1:10" ht="20" x14ac:dyDescent="0.35">
      <c r="A4" s="4" t="s">
        <v>7</v>
      </c>
      <c r="B4" s="5" t="s">
        <v>8</v>
      </c>
      <c r="C4" s="6"/>
      <c r="D4" s="4" t="s">
        <v>11</v>
      </c>
      <c r="E4" s="7">
        <v>21901812</v>
      </c>
      <c r="F4" s="7">
        <v>37698643</v>
      </c>
      <c r="G4" s="7">
        <v>65984625</v>
      </c>
      <c r="H4" s="7">
        <v>271302</v>
      </c>
      <c r="I4" s="13">
        <f t="shared" si="0"/>
        <v>103683268</v>
      </c>
      <c r="J4" s="13">
        <f t="shared" si="1"/>
        <v>22173114</v>
      </c>
    </row>
    <row r="5" spans="1:10" ht="20" x14ac:dyDescent="0.35">
      <c r="A5" s="8" t="s">
        <v>7</v>
      </c>
      <c r="B5" s="9" t="s">
        <v>8</v>
      </c>
      <c r="C5" s="10"/>
      <c r="D5" s="8" t="s">
        <v>12</v>
      </c>
      <c r="E5" s="11">
        <v>21183616</v>
      </c>
      <c r="F5" s="11">
        <v>37134011</v>
      </c>
      <c r="G5" s="11">
        <v>63599267</v>
      </c>
      <c r="H5" s="11">
        <v>262676</v>
      </c>
      <c r="I5" s="13">
        <f t="shared" si="0"/>
        <v>100733278</v>
      </c>
      <c r="J5" s="13">
        <f t="shared" si="1"/>
        <v>21446292</v>
      </c>
    </row>
    <row r="6" spans="1:10" ht="20" x14ac:dyDescent="0.35">
      <c r="A6" s="4" t="s">
        <v>7</v>
      </c>
      <c r="B6" s="5" t="s">
        <v>8</v>
      </c>
      <c r="C6" s="6"/>
      <c r="D6" s="4" t="s">
        <v>13</v>
      </c>
      <c r="E6" s="7">
        <v>21814182</v>
      </c>
      <c r="F6" s="7">
        <v>39307098</v>
      </c>
      <c r="G6" s="7">
        <v>65326080</v>
      </c>
      <c r="H6" s="7">
        <v>262810</v>
      </c>
      <c r="I6" s="13">
        <f t="shared" si="0"/>
        <v>104633178</v>
      </c>
      <c r="J6" s="13">
        <f t="shared" si="1"/>
        <v>22076992</v>
      </c>
    </row>
    <row r="7" spans="1:10" ht="20" x14ac:dyDescent="0.35">
      <c r="A7" s="8" t="s">
        <v>7</v>
      </c>
      <c r="B7" s="9" t="s">
        <v>8</v>
      </c>
      <c r="C7" s="10"/>
      <c r="D7" s="8" t="s">
        <v>14</v>
      </c>
      <c r="E7" s="11">
        <v>20919623</v>
      </c>
      <c r="F7" s="11">
        <v>37712915</v>
      </c>
      <c r="G7" s="11">
        <v>62148113</v>
      </c>
      <c r="H7" s="11">
        <v>231627</v>
      </c>
      <c r="I7" s="13">
        <f t="shared" si="0"/>
        <v>99861028</v>
      </c>
      <c r="J7" s="13">
        <f t="shared" si="1"/>
        <v>21151250</v>
      </c>
    </row>
    <row r="8" spans="1:10" ht="20" x14ac:dyDescent="0.35">
      <c r="A8" s="4" t="s">
        <v>7</v>
      </c>
      <c r="B8" s="5" t="s">
        <v>8</v>
      </c>
      <c r="C8" s="6"/>
      <c r="D8" s="4" t="s">
        <v>15</v>
      </c>
      <c r="E8" s="7">
        <v>22037603</v>
      </c>
      <c r="F8" s="7">
        <v>40293303</v>
      </c>
      <c r="G8" s="7">
        <v>63735895</v>
      </c>
      <c r="H8" s="7">
        <v>246941</v>
      </c>
      <c r="I8" s="13">
        <f t="shared" si="0"/>
        <v>104029198</v>
      </c>
      <c r="J8" s="13">
        <f t="shared" si="1"/>
        <v>22284544</v>
      </c>
    </row>
    <row r="9" spans="1:10" ht="20" x14ac:dyDescent="0.35">
      <c r="A9" s="8" t="s">
        <v>7</v>
      </c>
      <c r="B9" s="9" t="s">
        <v>8</v>
      </c>
      <c r="C9" s="10"/>
      <c r="D9" s="8" t="s">
        <v>16</v>
      </c>
      <c r="E9" s="11">
        <v>22099813</v>
      </c>
      <c r="F9" s="11">
        <v>40360263</v>
      </c>
      <c r="G9" s="11">
        <v>64026802</v>
      </c>
      <c r="H9" s="11">
        <v>254120</v>
      </c>
      <c r="I9" s="13">
        <f t="shared" si="0"/>
        <v>104387065</v>
      </c>
      <c r="J9" s="13">
        <f t="shared" si="1"/>
        <v>22353933</v>
      </c>
    </row>
    <row r="10" spans="1:10" ht="20" x14ac:dyDescent="0.35">
      <c r="A10" s="4" t="s">
        <v>7</v>
      </c>
      <c r="B10" s="5" t="s">
        <v>8</v>
      </c>
      <c r="C10" s="6"/>
      <c r="D10" s="4" t="s">
        <v>17</v>
      </c>
      <c r="E10" s="7">
        <v>20946895</v>
      </c>
      <c r="F10" s="7">
        <v>32035101</v>
      </c>
      <c r="G10" s="7">
        <v>55796335</v>
      </c>
      <c r="H10" s="7">
        <v>217045</v>
      </c>
      <c r="I10" s="13">
        <f t="shared" si="0"/>
        <v>87831436</v>
      </c>
      <c r="J10" s="13">
        <f t="shared" si="1"/>
        <v>21163940</v>
      </c>
    </row>
    <row r="11" spans="1:10" ht="20" x14ac:dyDescent="0.35">
      <c r="A11" s="8" t="s">
        <v>7</v>
      </c>
      <c r="B11" s="9" t="s">
        <v>8</v>
      </c>
      <c r="C11" s="10"/>
      <c r="D11" s="8" t="s">
        <v>18</v>
      </c>
      <c r="E11" s="11">
        <v>22403226</v>
      </c>
      <c r="F11" s="11">
        <v>38154869</v>
      </c>
      <c r="G11" s="11">
        <v>63392541</v>
      </c>
      <c r="H11" s="11">
        <v>271786</v>
      </c>
      <c r="I11" s="13">
        <f t="shared" si="0"/>
        <v>101547410</v>
      </c>
      <c r="J11" s="13">
        <f t="shared" si="1"/>
        <v>22675012</v>
      </c>
    </row>
    <row r="12" spans="1:10" ht="20" x14ac:dyDescent="0.35">
      <c r="A12" s="4" t="s">
        <v>7</v>
      </c>
      <c r="B12" s="5" t="s">
        <v>8</v>
      </c>
      <c r="C12" s="6"/>
      <c r="D12" s="4" t="s">
        <v>19</v>
      </c>
      <c r="E12" s="7">
        <v>22002971</v>
      </c>
      <c r="F12" s="7">
        <v>38688035</v>
      </c>
      <c r="G12" s="7">
        <v>63510075</v>
      </c>
      <c r="H12" s="7">
        <v>265519</v>
      </c>
      <c r="I12" s="13">
        <f t="shared" si="0"/>
        <v>102198110</v>
      </c>
      <c r="J12" s="13">
        <f t="shared" si="1"/>
        <v>22268490</v>
      </c>
    </row>
    <row r="13" spans="1:10" ht="20" x14ac:dyDescent="0.35">
      <c r="A13" s="8" t="s">
        <v>7</v>
      </c>
      <c r="B13" s="9" t="s">
        <v>8</v>
      </c>
      <c r="C13" s="10"/>
      <c r="D13" s="8" t="s">
        <v>20</v>
      </c>
      <c r="E13" s="11">
        <v>22647642</v>
      </c>
      <c r="F13" s="11">
        <v>39513702</v>
      </c>
      <c r="G13" s="11">
        <v>67227780</v>
      </c>
      <c r="H13" s="11">
        <v>287395</v>
      </c>
      <c r="I13" s="13">
        <f t="shared" si="0"/>
        <v>106741482</v>
      </c>
      <c r="J13" s="13">
        <f t="shared" si="1"/>
        <v>22935037</v>
      </c>
    </row>
    <row r="14" spans="1:10" ht="20" x14ac:dyDescent="0.35">
      <c r="A14" s="4" t="s">
        <v>7</v>
      </c>
      <c r="B14" s="5" t="s">
        <v>21</v>
      </c>
      <c r="C14" s="6"/>
      <c r="D14" s="4" t="s">
        <v>9</v>
      </c>
      <c r="E14" s="7">
        <v>22656090</v>
      </c>
      <c r="F14" s="7">
        <v>39948006</v>
      </c>
      <c r="G14" s="7">
        <v>67647782</v>
      </c>
      <c r="H14" s="7">
        <v>284575</v>
      </c>
      <c r="I14" s="13">
        <f t="shared" si="0"/>
        <v>107595788</v>
      </c>
      <c r="J14" s="13">
        <f t="shared" si="1"/>
        <v>22940665</v>
      </c>
    </row>
    <row r="15" spans="1:10" ht="20" x14ac:dyDescent="0.35">
      <c r="A15" s="8" t="s">
        <v>7</v>
      </c>
      <c r="B15" s="9" t="s">
        <v>21</v>
      </c>
      <c r="C15" s="10"/>
      <c r="D15" s="8" t="s">
        <v>10</v>
      </c>
      <c r="E15" s="11">
        <v>20416505</v>
      </c>
      <c r="F15" s="11">
        <v>35349562</v>
      </c>
      <c r="G15" s="11">
        <v>60263250</v>
      </c>
      <c r="H15" s="11">
        <v>257419</v>
      </c>
      <c r="I15" s="13">
        <f t="shared" si="0"/>
        <v>95612812</v>
      </c>
      <c r="J15" s="13">
        <f t="shared" si="1"/>
        <v>20673924</v>
      </c>
    </row>
    <row r="16" spans="1:10" ht="20" x14ac:dyDescent="0.35">
      <c r="A16" s="4" t="s">
        <v>7</v>
      </c>
      <c r="B16" s="5" t="s">
        <v>21</v>
      </c>
      <c r="C16" s="6"/>
      <c r="D16" s="4" t="s">
        <v>11</v>
      </c>
      <c r="E16" s="7">
        <v>22532735</v>
      </c>
      <c r="F16" s="7">
        <v>38967669</v>
      </c>
      <c r="G16" s="7">
        <v>64938124</v>
      </c>
      <c r="H16" s="7">
        <v>272530</v>
      </c>
      <c r="I16" s="13">
        <f t="shared" si="0"/>
        <v>103905793</v>
      </c>
      <c r="J16" s="13">
        <f t="shared" si="1"/>
        <v>22805265</v>
      </c>
    </row>
    <row r="17" spans="1:10" ht="20" x14ac:dyDescent="0.35">
      <c r="A17" s="8" t="s">
        <v>7</v>
      </c>
      <c r="B17" s="9" t="s">
        <v>21</v>
      </c>
      <c r="C17" s="10"/>
      <c r="D17" s="8" t="s">
        <v>12</v>
      </c>
      <c r="E17" s="11">
        <v>21609321</v>
      </c>
      <c r="F17" s="11">
        <v>38924917</v>
      </c>
      <c r="G17" s="11">
        <v>60214451</v>
      </c>
      <c r="H17" s="11">
        <v>255751</v>
      </c>
      <c r="I17" s="13">
        <f t="shared" si="0"/>
        <v>99139368</v>
      </c>
      <c r="J17" s="13">
        <f t="shared" si="1"/>
        <v>21865072</v>
      </c>
    </row>
    <row r="18" spans="1:10" ht="20" x14ac:dyDescent="0.35">
      <c r="A18" s="4" t="s">
        <v>7</v>
      </c>
      <c r="B18" s="5" t="s">
        <v>21</v>
      </c>
      <c r="C18" s="6"/>
      <c r="D18" s="4" t="s">
        <v>13</v>
      </c>
      <c r="E18" s="7">
        <v>22012020</v>
      </c>
      <c r="F18" s="7">
        <v>40453224</v>
      </c>
      <c r="G18" s="7">
        <v>63877470</v>
      </c>
      <c r="H18" s="7">
        <v>250620</v>
      </c>
      <c r="I18" s="13">
        <f t="shared" si="0"/>
        <v>104330694</v>
      </c>
      <c r="J18" s="13">
        <f t="shared" si="1"/>
        <v>22262640</v>
      </c>
    </row>
    <row r="19" spans="1:10" ht="20" x14ac:dyDescent="0.35">
      <c r="A19" s="8" t="s">
        <v>7</v>
      </c>
      <c r="B19" s="9" t="s">
        <v>21</v>
      </c>
      <c r="C19" s="10"/>
      <c r="D19" s="8" t="s">
        <v>14</v>
      </c>
      <c r="E19" s="11">
        <v>21014795</v>
      </c>
      <c r="F19" s="11">
        <v>39795928</v>
      </c>
      <c r="G19" s="11">
        <v>60822214</v>
      </c>
      <c r="H19" s="11">
        <v>226792</v>
      </c>
      <c r="I19" s="13">
        <f t="shared" si="0"/>
        <v>100618142</v>
      </c>
      <c r="J19" s="13">
        <f t="shared" si="1"/>
        <v>21241587</v>
      </c>
    </row>
    <row r="20" spans="1:10" ht="20" x14ac:dyDescent="0.35">
      <c r="A20" s="4" t="s">
        <v>7</v>
      </c>
      <c r="B20" s="5" t="s">
        <v>21</v>
      </c>
      <c r="C20" s="6"/>
      <c r="D20" s="4" t="s">
        <v>15</v>
      </c>
      <c r="E20" s="7">
        <v>21553511</v>
      </c>
      <c r="F20" s="7">
        <v>40581621</v>
      </c>
      <c r="G20" s="7">
        <v>61188333</v>
      </c>
      <c r="H20" s="7">
        <v>237706</v>
      </c>
      <c r="I20" s="13">
        <f t="shared" si="0"/>
        <v>101769954</v>
      </c>
      <c r="J20" s="13">
        <f t="shared" si="1"/>
        <v>21791217</v>
      </c>
    </row>
    <row r="21" spans="1:10" ht="20" x14ac:dyDescent="0.35">
      <c r="A21" s="8" t="s">
        <v>7</v>
      </c>
      <c r="B21" s="9" t="s">
        <v>21</v>
      </c>
      <c r="C21" s="10"/>
      <c r="D21" s="8" t="s">
        <v>16</v>
      </c>
      <c r="E21" s="11">
        <v>21669772</v>
      </c>
      <c r="F21" s="11">
        <v>39932886</v>
      </c>
      <c r="G21" s="11">
        <v>61164695</v>
      </c>
      <c r="H21" s="11">
        <v>234087</v>
      </c>
      <c r="I21" s="13">
        <f t="shared" si="0"/>
        <v>101097581</v>
      </c>
      <c r="J21" s="13">
        <f t="shared" si="1"/>
        <v>21903859</v>
      </c>
    </row>
    <row r="22" spans="1:10" ht="20" x14ac:dyDescent="0.35">
      <c r="A22" s="4" t="s">
        <v>7</v>
      </c>
      <c r="B22" s="5" t="s">
        <v>21</v>
      </c>
      <c r="C22" s="6"/>
      <c r="D22" s="4" t="s">
        <v>17</v>
      </c>
      <c r="E22" s="7">
        <v>21216399</v>
      </c>
      <c r="F22" s="7">
        <v>39617328</v>
      </c>
      <c r="G22" s="7">
        <v>59022174</v>
      </c>
      <c r="H22" s="7">
        <v>233256</v>
      </c>
      <c r="I22" s="13">
        <f t="shared" si="0"/>
        <v>98639502</v>
      </c>
      <c r="J22" s="13">
        <f t="shared" si="1"/>
        <v>21449655</v>
      </c>
    </row>
    <row r="23" spans="1:10" ht="20" x14ac:dyDescent="0.35">
      <c r="A23" s="8" t="s">
        <v>7</v>
      </c>
      <c r="B23" s="9" t="s">
        <v>21</v>
      </c>
      <c r="C23" s="10"/>
      <c r="D23" s="8" t="s">
        <v>18</v>
      </c>
      <c r="E23" s="11">
        <v>21998548</v>
      </c>
      <c r="F23" s="11">
        <v>40357180</v>
      </c>
      <c r="G23" s="11">
        <v>59975589</v>
      </c>
      <c r="H23" s="11">
        <v>235475</v>
      </c>
      <c r="I23" s="13">
        <f t="shared" si="0"/>
        <v>100332769</v>
      </c>
      <c r="J23" s="13">
        <f t="shared" si="1"/>
        <v>22234023</v>
      </c>
    </row>
    <row r="24" spans="1:10" ht="20" x14ac:dyDescent="0.35">
      <c r="A24" s="4" t="s">
        <v>7</v>
      </c>
      <c r="B24" s="5" t="s">
        <v>21</v>
      </c>
      <c r="C24" s="6"/>
      <c r="D24" s="4" t="s">
        <v>19</v>
      </c>
      <c r="E24" s="7">
        <v>21508408</v>
      </c>
      <c r="F24" s="7">
        <v>40180372</v>
      </c>
      <c r="G24" s="7">
        <v>58576788</v>
      </c>
      <c r="H24" s="7">
        <v>228315</v>
      </c>
      <c r="I24" s="13">
        <f t="shared" si="0"/>
        <v>98757160</v>
      </c>
      <c r="J24" s="13">
        <f t="shared" si="1"/>
        <v>21736723</v>
      </c>
    </row>
    <row r="25" spans="1:10" ht="20" x14ac:dyDescent="0.35">
      <c r="A25" s="8" t="s">
        <v>7</v>
      </c>
      <c r="B25" s="9" t="s">
        <v>21</v>
      </c>
      <c r="C25" s="10"/>
      <c r="D25" s="8" t="s">
        <v>20</v>
      </c>
      <c r="E25" s="11">
        <v>22005368</v>
      </c>
      <c r="F25" s="11">
        <v>39239904</v>
      </c>
      <c r="G25" s="11">
        <v>58856845</v>
      </c>
      <c r="H25" s="11">
        <v>242854</v>
      </c>
      <c r="I25" s="13">
        <f t="shared" si="0"/>
        <v>98096749</v>
      </c>
      <c r="J25" s="13">
        <f t="shared" si="1"/>
        <v>22248222</v>
      </c>
    </row>
    <row r="26" spans="1:10" ht="20" x14ac:dyDescent="0.35">
      <c r="A26" s="4" t="s">
        <v>7</v>
      </c>
      <c r="B26" s="5" t="s">
        <v>22</v>
      </c>
      <c r="C26" s="6"/>
      <c r="D26" s="4" t="s">
        <v>9</v>
      </c>
      <c r="E26" s="7">
        <v>22177619</v>
      </c>
      <c r="F26" s="7">
        <v>40303291</v>
      </c>
      <c r="G26" s="7">
        <v>58009933</v>
      </c>
      <c r="H26" s="7">
        <v>243229</v>
      </c>
      <c r="I26" s="13">
        <f t="shared" si="0"/>
        <v>98313224</v>
      </c>
      <c r="J26" s="13">
        <f t="shared" si="1"/>
        <v>22420848</v>
      </c>
    </row>
    <row r="27" spans="1:10" ht="20" x14ac:dyDescent="0.35">
      <c r="A27" s="8" t="s">
        <v>7</v>
      </c>
      <c r="B27" s="9" t="s">
        <v>22</v>
      </c>
      <c r="C27" s="10"/>
      <c r="D27" s="8" t="s">
        <v>10</v>
      </c>
      <c r="E27" s="11">
        <v>20374421</v>
      </c>
      <c r="F27" s="11">
        <v>37859327</v>
      </c>
      <c r="G27" s="11">
        <v>52435592</v>
      </c>
      <c r="H27" s="11">
        <v>233384</v>
      </c>
      <c r="I27" s="13">
        <f t="shared" si="0"/>
        <v>90294919</v>
      </c>
      <c r="J27" s="13">
        <f t="shared" si="1"/>
        <v>20607805</v>
      </c>
    </row>
    <row r="28" spans="1:10" ht="20" x14ac:dyDescent="0.35">
      <c r="A28" s="4" t="s">
        <v>7</v>
      </c>
      <c r="B28" s="5" t="s">
        <v>22</v>
      </c>
      <c r="C28" s="6"/>
      <c r="D28" s="4" t="s">
        <v>11</v>
      </c>
      <c r="E28" s="7">
        <v>22550143</v>
      </c>
      <c r="F28" s="7">
        <v>41667871</v>
      </c>
      <c r="G28" s="7">
        <v>57405108</v>
      </c>
      <c r="H28" s="7">
        <v>243518</v>
      </c>
      <c r="I28" s="13">
        <f t="shared" si="0"/>
        <v>99072979</v>
      </c>
      <c r="J28" s="13">
        <f t="shared" si="1"/>
        <v>22793661</v>
      </c>
    </row>
    <row r="29" spans="1:10" ht="20" x14ac:dyDescent="0.35">
      <c r="A29" s="8" t="s">
        <v>7</v>
      </c>
      <c r="B29" s="9" t="s">
        <v>22</v>
      </c>
      <c r="C29" s="10"/>
      <c r="D29" s="8" t="s">
        <v>12</v>
      </c>
      <c r="E29" s="11">
        <v>21796817</v>
      </c>
      <c r="F29" s="11">
        <v>41713648</v>
      </c>
      <c r="G29" s="11">
        <v>55068646</v>
      </c>
      <c r="H29" s="11">
        <v>233600</v>
      </c>
      <c r="I29" s="13">
        <f t="shared" si="0"/>
        <v>96782294</v>
      </c>
      <c r="J29" s="13">
        <f t="shared" si="1"/>
        <v>22030417</v>
      </c>
    </row>
    <row r="30" spans="1:10" ht="20" x14ac:dyDescent="0.35">
      <c r="A30" s="4" t="s">
        <v>7</v>
      </c>
      <c r="B30" s="5" t="s">
        <v>22</v>
      </c>
      <c r="C30" s="6"/>
      <c r="D30" s="4" t="s">
        <v>13</v>
      </c>
      <c r="E30" s="7">
        <v>22715314</v>
      </c>
      <c r="F30" s="7">
        <v>43987694</v>
      </c>
      <c r="G30" s="7">
        <v>56147125</v>
      </c>
      <c r="H30" s="7">
        <v>231161</v>
      </c>
      <c r="I30" s="13">
        <f t="shared" si="0"/>
        <v>100134819</v>
      </c>
      <c r="J30" s="13">
        <f t="shared" si="1"/>
        <v>22946475</v>
      </c>
    </row>
    <row r="31" spans="1:10" ht="20" x14ac:dyDescent="0.35">
      <c r="A31" s="8" t="s">
        <v>7</v>
      </c>
      <c r="B31" s="9" t="s">
        <v>22</v>
      </c>
      <c r="C31" s="10"/>
      <c r="D31" s="8" t="s">
        <v>14</v>
      </c>
      <c r="E31" s="11">
        <v>21866005</v>
      </c>
      <c r="F31" s="11">
        <v>41554271</v>
      </c>
      <c r="G31" s="11">
        <v>52962806</v>
      </c>
      <c r="H31" s="11">
        <v>199570</v>
      </c>
      <c r="I31" s="13">
        <f t="shared" si="0"/>
        <v>94517077</v>
      </c>
      <c r="J31" s="13">
        <f t="shared" si="1"/>
        <v>22065575</v>
      </c>
    </row>
    <row r="32" spans="1:10" ht="20" x14ac:dyDescent="0.35">
      <c r="A32" s="4" t="s">
        <v>7</v>
      </c>
      <c r="B32" s="5" t="s">
        <v>22</v>
      </c>
      <c r="C32" s="6"/>
      <c r="D32" s="4" t="s">
        <v>15</v>
      </c>
      <c r="E32" s="7">
        <v>22911280</v>
      </c>
      <c r="F32" s="7">
        <v>43382640</v>
      </c>
      <c r="G32" s="7">
        <v>54349772</v>
      </c>
      <c r="H32" s="7">
        <v>217510</v>
      </c>
      <c r="I32" s="13">
        <f t="shared" si="0"/>
        <v>97732412</v>
      </c>
      <c r="J32" s="13">
        <f t="shared" si="1"/>
        <v>23128790</v>
      </c>
    </row>
    <row r="33" spans="1:10" ht="20" x14ac:dyDescent="0.35">
      <c r="A33" s="8" t="s">
        <v>7</v>
      </c>
      <c r="B33" s="9" t="s">
        <v>22</v>
      </c>
      <c r="C33" s="10"/>
      <c r="D33" s="8" t="s">
        <v>16</v>
      </c>
      <c r="E33" s="11">
        <v>23070098</v>
      </c>
      <c r="F33" s="11">
        <v>43400229</v>
      </c>
      <c r="G33" s="11">
        <v>53420208</v>
      </c>
      <c r="H33" s="11">
        <v>209972</v>
      </c>
      <c r="I33" s="13">
        <f t="shared" si="0"/>
        <v>96820437</v>
      </c>
      <c r="J33" s="13">
        <f t="shared" si="1"/>
        <v>23280070</v>
      </c>
    </row>
    <row r="34" spans="1:10" ht="20" x14ac:dyDescent="0.35">
      <c r="A34" s="4" t="s">
        <v>7</v>
      </c>
      <c r="B34" s="5" t="s">
        <v>22</v>
      </c>
      <c r="C34" s="6"/>
      <c r="D34" s="4" t="s">
        <v>17</v>
      </c>
      <c r="E34" s="7">
        <v>22592852</v>
      </c>
      <c r="F34" s="7">
        <v>42706057</v>
      </c>
      <c r="G34" s="7">
        <v>51421957</v>
      </c>
      <c r="H34" s="7">
        <v>209693</v>
      </c>
      <c r="I34" s="13">
        <f t="shared" si="0"/>
        <v>94128014</v>
      </c>
      <c r="J34" s="13">
        <f t="shared" si="1"/>
        <v>22802545</v>
      </c>
    </row>
    <row r="35" spans="1:10" ht="20" x14ac:dyDescent="0.35">
      <c r="A35" s="8" t="s">
        <v>7</v>
      </c>
      <c r="B35" s="9" t="s">
        <v>22</v>
      </c>
      <c r="C35" s="10"/>
      <c r="D35" s="8" t="s">
        <v>18</v>
      </c>
      <c r="E35" s="11">
        <v>23657180</v>
      </c>
      <c r="F35" s="11">
        <v>44695110</v>
      </c>
      <c r="G35" s="11">
        <v>52486603</v>
      </c>
      <c r="H35" s="11">
        <v>233338</v>
      </c>
      <c r="I35" s="13">
        <f t="shared" si="0"/>
        <v>97181713</v>
      </c>
      <c r="J35" s="13">
        <f t="shared" si="1"/>
        <v>23890518</v>
      </c>
    </row>
    <row r="36" spans="1:10" ht="20" x14ac:dyDescent="0.35">
      <c r="A36" s="4" t="s">
        <v>7</v>
      </c>
      <c r="B36" s="5" t="s">
        <v>22</v>
      </c>
      <c r="C36" s="6"/>
      <c r="D36" s="4" t="s">
        <v>19</v>
      </c>
      <c r="E36" s="7">
        <v>23220396</v>
      </c>
      <c r="F36" s="7">
        <v>43801044</v>
      </c>
      <c r="G36" s="7">
        <v>49708198</v>
      </c>
      <c r="H36" s="7">
        <v>211894</v>
      </c>
      <c r="I36" s="13">
        <f t="shared" si="0"/>
        <v>93509242</v>
      </c>
      <c r="J36" s="13">
        <f t="shared" si="1"/>
        <v>23432290</v>
      </c>
    </row>
    <row r="37" spans="1:10" ht="20" x14ac:dyDescent="0.35">
      <c r="A37" s="8" t="s">
        <v>7</v>
      </c>
      <c r="B37" s="9" t="s">
        <v>22</v>
      </c>
      <c r="C37" s="10"/>
      <c r="D37" s="8" t="s">
        <v>20</v>
      </c>
      <c r="E37" s="11">
        <v>24302673</v>
      </c>
      <c r="F37" s="11">
        <v>46363696</v>
      </c>
      <c r="G37" s="11">
        <v>50714396</v>
      </c>
      <c r="H37" s="11">
        <v>218267</v>
      </c>
      <c r="I37" s="13">
        <f t="shared" si="0"/>
        <v>97078092</v>
      </c>
      <c r="J37" s="13">
        <f t="shared" si="1"/>
        <v>24520940</v>
      </c>
    </row>
    <row r="38" spans="1:10" ht="20" x14ac:dyDescent="0.35">
      <c r="A38" s="4" t="s">
        <v>7</v>
      </c>
      <c r="B38" s="5" t="s">
        <v>23</v>
      </c>
      <c r="C38" s="6"/>
      <c r="D38" s="4" t="s">
        <v>9</v>
      </c>
      <c r="E38" s="7">
        <v>24391974</v>
      </c>
      <c r="F38" s="7">
        <v>45263950</v>
      </c>
      <c r="G38" s="7">
        <v>49413505</v>
      </c>
      <c r="H38" s="7">
        <v>231895</v>
      </c>
      <c r="I38" s="13">
        <f t="shared" si="0"/>
        <v>94677455</v>
      </c>
      <c r="J38" s="13">
        <f t="shared" si="1"/>
        <v>24623869</v>
      </c>
    </row>
    <row r="39" spans="1:10" ht="20" x14ac:dyDescent="0.35">
      <c r="A39" s="8" t="s">
        <v>7</v>
      </c>
      <c r="B39" s="9" t="s">
        <v>23</v>
      </c>
      <c r="C39" s="10"/>
      <c r="D39" s="8" t="s">
        <v>10</v>
      </c>
      <c r="E39" s="11">
        <v>20644573</v>
      </c>
      <c r="F39" s="11">
        <v>39134577</v>
      </c>
      <c r="G39" s="11">
        <v>41054184</v>
      </c>
      <c r="H39" s="11">
        <v>200344</v>
      </c>
      <c r="I39" s="13">
        <f t="shared" si="0"/>
        <v>80188761</v>
      </c>
      <c r="J39" s="13">
        <f t="shared" si="1"/>
        <v>20844917</v>
      </c>
    </row>
    <row r="40" spans="1:10" ht="20" x14ac:dyDescent="0.35">
      <c r="A40" s="4" t="s">
        <v>7</v>
      </c>
      <c r="B40" s="5" t="s">
        <v>23</v>
      </c>
      <c r="C40" s="6"/>
      <c r="D40" s="4" t="s">
        <v>11</v>
      </c>
      <c r="E40" s="7">
        <v>24673069</v>
      </c>
      <c r="F40" s="7">
        <v>47781241</v>
      </c>
      <c r="G40" s="7">
        <v>49043937</v>
      </c>
      <c r="H40" s="7">
        <v>262094</v>
      </c>
      <c r="I40" s="13">
        <f t="shared" si="0"/>
        <v>96825178</v>
      </c>
      <c r="J40" s="13">
        <f t="shared" si="1"/>
        <v>24935163</v>
      </c>
    </row>
    <row r="41" spans="1:10" ht="20" x14ac:dyDescent="0.35">
      <c r="A41" s="8" t="s">
        <v>7</v>
      </c>
      <c r="B41" s="9" t="s">
        <v>23</v>
      </c>
      <c r="C41" s="10"/>
      <c r="D41" s="8" t="s">
        <v>12</v>
      </c>
      <c r="E41" s="11">
        <v>23826128</v>
      </c>
      <c r="F41" s="11">
        <v>45099958</v>
      </c>
      <c r="G41" s="11">
        <v>45829850</v>
      </c>
      <c r="H41" s="11">
        <v>223999</v>
      </c>
      <c r="I41" s="13">
        <f t="shared" si="0"/>
        <v>90929808</v>
      </c>
      <c r="J41" s="13">
        <f t="shared" si="1"/>
        <v>24050127</v>
      </c>
    </row>
    <row r="42" spans="1:10" ht="20" x14ac:dyDescent="0.35">
      <c r="A42" s="4" t="s">
        <v>7</v>
      </c>
      <c r="B42" s="5" t="s">
        <v>23</v>
      </c>
      <c r="C42" s="6"/>
      <c r="D42" s="4" t="s">
        <v>13</v>
      </c>
      <c r="E42" s="7">
        <v>25009577</v>
      </c>
      <c r="F42" s="7">
        <v>49793727</v>
      </c>
      <c r="G42" s="7">
        <v>47330105</v>
      </c>
      <c r="H42" s="7">
        <v>223651</v>
      </c>
      <c r="I42" s="13">
        <f t="shared" si="0"/>
        <v>97123832</v>
      </c>
      <c r="J42" s="13">
        <f t="shared" si="1"/>
        <v>25233228</v>
      </c>
    </row>
    <row r="43" spans="1:10" ht="20" x14ac:dyDescent="0.35">
      <c r="A43" s="8" t="s">
        <v>7</v>
      </c>
      <c r="B43" s="9" t="s">
        <v>23</v>
      </c>
      <c r="C43" s="10"/>
      <c r="D43" s="8" t="s">
        <v>14</v>
      </c>
      <c r="E43" s="11">
        <v>24227355</v>
      </c>
      <c r="F43" s="11">
        <v>48650858</v>
      </c>
      <c r="G43" s="11">
        <v>45131950</v>
      </c>
      <c r="H43" s="11">
        <v>213875</v>
      </c>
      <c r="I43" s="13">
        <f t="shared" si="0"/>
        <v>93782808</v>
      </c>
      <c r="J43" s="13">
        <f t="shared" si="1"/>
        <v>24441230</v>
      </c>
    </row>
    <row r="44" spans="1:10" ht="20" x14ac:dyDescent="0.35">
      <c r="A44" s="4" t="s">
        <v>7</v>
      </c>
      <c r="B44" s="5" t="s">
        <v>23</v>
      </c>
      <c r="C44" s="6"/>
      <c r="D44" s="4" t="s">
        <v>15</v>
      </c>
      <c r="E44" s="7">
        <v>25158705</v>
      </c>
      <c r="F44" s="7">
        <v>50520011</v>
      </c>
      <c r="G44" s="7">
        <v>45532750</v>
      </c>
      <c r="H44" s="7">
        <v>207469</v>
      </c>
      <c r="I44" s="13">
        <f t="shared" si="0"/>
        <v>96052761</v>
      </c>
      <c r="J44" s="13">
        <f t="shared" si="1"/>
        <v>25366174</v>
      </c>
    </row>
    <row r="45" spans="1:10" ht="20" x14ac:dyDescent="0.35">
      <c r="A45" s="8" t="s">
        <v>7</v>
      </c>
      <c r="B45" s="9" t="s">
        <v>23</v>
      </c>
      <c r="C45" s="10"/>
      <c r="D45" s="8" t="s">
        <v>16</v>
      </c>
      <c r="E45" s="11">
        <v>25663023</v>
      </c>
      <c r="F45" s="11">
        <v>50932089</v>
      </c>
      <c r="G45" s="11">
        <v>43362364</v>
      </c>
      <c r="H45" s="11">
        <v>202308</v>
      </c>
      <c r="I45" s="13">
        <f t="shared" si="0"/>
        <v>94294453</v>
      </c>
      <c r="J45" s="13">
        <f t="shared" si="1"/>
        <v>25865331</v>
      </c>
    </row>
    <row r="46" spans="1:10" ht="20" x14ac:dyDescent="0.35">
      <c r="A46" s="4" t="s">
        <v>7</v>
      </c>
      <c r="B46" s="5" t="s">
        <v>23</v>
      </c>
      <c r="C46" s="6"/>
      <c r="D46" s="4" t="s">
        <v>17</v>
      </c>
      <c r="E46" s="7">
        <v>25132750</v>
      </c>
      <c r="F46" s="7">
        <v>50363663</v>
      </c>
      <c r="G46" s="7">
        <v>42000780</v>
      </c>
      <c r="H46" s="7">
        <v>249831</v>
      </c>
      <c r="I46" s="13">
        <f t="shared" si="0"/>
        <v>92364443</v>
      </c>
      <c r="J46" s="13">
        <f t="shared" si="1"/>
        <v>25382581</v>
      </c>
    </row>
    <row r="47" spans="1:10" ht="20" x14ac:dyDescent="0.35">
      <c r="A47" s="8" t="s">
        <v>7</v>
      </c>
      <c r="B47" s="9" t="s">
        <v>23</v>
      </c>
      <c r="C47" s="10"/>
      <c r="D47" s="8" t="s">
        <v>18</v>
      </c>
      <c r="E47" s="11">
        <v>26666208</v>
      </c>
      <c r="F47" s="11">
        <v>52798220</v>
      </c>
      <c r="G47" s="11">
        <v>43659024</v>
      </c>
      <c r="H47" s="11">
        <v>272231</v>
      </c>
      <c r="I47" s="13">
        <f t="shared" si="0"/>
        <v>96457244</v>
      </c>
      <c r="J47" s="13">
        <f t="shared" si="1"/>
        <v>26938439</v>
      </c>
    </row>
    <row r="48" spans="1:10" ht="20" x14ac:dyDescent="0.35">
      <c r="A48" s="4" t="s">
        <v>7</v>
      </c>
      <c r="B48" s="5" t="s">
        <v>23</v>
      </c>
      <c r="C48" s="6"/>
      <c r="D48" s="4" t="s">
        <v>19</v>
      </c>
      <c r="E48" s="7">
        <v>26396617</v>
      </c>
      <c r="F48" s="7">
        <v>51321487</v>
      </c>
      <c r="G48" s="7">
        <v>42081325</v>
      </c>
      <c r="H48" s="7">
        <v>285816</v>
      </c>
      <c r="I48" s="13">
        <f t="shared" si="0"/>
        <v>93402812</v>
      </c>
      <c r="J48" s="13">
        <f t="shared" si="1"/>
        <v>26682433</v>
      </c>
    </row>
    <row r="49" spans="1:10" ht="20" x14ac:dyDescent="0.35">
      <c r="A49" s="8" t="s">
        <v>7</v>
      </c>
      <c r="B49" s="9" t="s">
        <v>23</v>
      </c>
      <c r="C49" s="10"/>
      <c r="D49" s="8" t="s">
        <v>20</v>
      </c>
      <c r="E49" s="11">
        <v>27402426</v>
      </c>
      <c r="F49" s="11">
        <v>53923436</v>
      </c>
      <c r="G49" s="11">
        <v>42051352</v>
      </c>
      <c r="H49" s="11">
        <v>293379</v>
      </c>
      <c r="I49" s="13">
        <f t="shared" si="0"/>
        <v>95974788</v>
      </c>
      <c r="J49" s="13">
        <f t="shared" si="1"/>
        <v>27695805</v>
      </c>
    </row>
    <row r="50" spans="1:10" ht="20" x14ac:dyDescent="0.35">
      <c r="A50" s="4" t="s">
        <v>7</v>
      </c>
      <c r="B50" s="5" t="s">
        <v>24</v>
      </c>
      <c r="C50" s="6"/>
      <c r="D50" s="4" t="s">
        <v>9</v>
      </c>
      <c r="E50" s="7">
        <v>27600756</v>
      </c>
      <c r="F50" s="7">
        <v>53458428</v>
      </c>
      <c r="G50" s="7">
        <v>41799188</v>
      </c>
      <c r="H50" s="7">
        <v>288788</v>
      </c>
      <c r="I50" s="13">
        <f t="shared" si="0"/>
        <v>95257616</v>
      </c>
      <c r="J50" s="13">
        <f t="shared" si="1"/>
        <v>27889544</v>
      </c>
    </row>
    <row r="51" spans="1:10" ht="20" x14ac:dyDescent="0.35">
      <c r="A51" s="8" t="s">
        <v>7</v>
      </c>
      <c r="B51" s="9" t="s">
        <v>24</v>
      </c>
      <c r="C51" s="10"/>
      <c r="D51" s="8" t="s">
        <v>10</v>
      </c>
      <c r="E51" s="11">
        <v>26251159</v>
      </c>
      <c r="F51" s="11">
        <v>51121699</v>
      </c>
      <c r="G51" s="11">
        <v>38317262</v>
      </c>
      <c r="H51" s="11">
        <v>276021</v>
      </c>
      <c r="I51" s="13">
        <f t="shared" si="0"/>
        <v>89438961</v>
      </c>
      <c r="J51" s="13">
        <f t="shared" si="1"/>
        <v>26527180</v>
      </c>
    </row>
    <row r="52" spans="1:10" ht="20" x14ac:dyDescent="0.35">
      <c r="A52" s="4" t="s">
        <v>7</v>
      </c>
      <c r="B52" s="5" t="s">
        <v>24</v>
      </c>
      <c r="C52" s="6"/>
      <c r="D52" s="4" t="s">
        <v>11</v>
      </c>
      <c r="E52" s="7">
        <v>28329654</v>
      </c>
      <c r="F52" s="7">
        <v>56466559</v>
      </c>
      <c r="G52" s="7">
        <v>40329339</v>
      </c>
      <c r="H52" s="7">
        <v>302337</v>
      </c>
      <c r="I52" s="13">
        <f t="shared" si="0"/>
        <v>96795898</v>
      </c>
      <c r="J52" s="13">
        <f t="shared" si="1"/>
        <v>28631991</v>
      </c>
    </row>
    <row r="53" spans="1:10" ht="20" x14ac:dyDescent="0.35">
      <c r="A53" s="8" t="s">
        <v>7</v>
      </c>
      <c r="B53" s="9" t="s">
        <v>24</v>
      </c>
      <c r="C53" s="10"/>
      <c r="D53" s="8" t="s">
        <v>12</v>
      </c>
      <c r="E53" s="11">
        <v>27778291</v>
      </c>
      <c r="F53" s="11">
        <v>55670304</v>
      </c>
      <c r="G53" s="11">
        <v>39476565</v>
      </c>
      <c r="H53" s="11">
        <v>326844</v>
      </c>
      <c r="I53" s="13">
        <f t="shared" si="0"/>
        <v>95146869</v>
      </c>
      <c r="J53" s="13">
        <f t="shared" si="1"/>
        <v>28105135</v>
      </c>
    </row>
    <row r="54" spans="1:10" ht="20" x14ac:dyDescent="0.35">
      <c r="A54" s="4" t="s">
        <v>7</v>
      </c>
      <c r="B54" s="5" t="s">
        <v>24</v>
      </c>
      <c r="C54" s="6"/>
      <c r="D54" s="4" t="s">
        <v>13</v>
      </c>
      <c r="E54" s="7">
        <v>28938591</v>
      </c>
      <c r="F54" s="7">
        <v>57882772</v>
      </c>
      <c r="G54" s="7">
        <v>38662200</v>
      </c>
      <c r="H54" s="7">
        <v>298159</v>
      </c>
      <c r="I54" s="13">
        <f t="shared" si="0"/>
        <v>96544972</v>
      </c>
      <c r="J54" s="13">
        <f t="shared" si="1"/>
        <v>29236750</v>
      </c>
    </row>
    <row r="55" spans="1:10" ht="20" x14ac:dyDescent="0.35">
      <c r="A55" s="8" t="s">
        <v>7</v>
      </c>
      <c r="B55" s="9" t="s">
        <v>24</v>
      </c>
      <c r="C55" s="10"/>
      <c r="D55" s="8" t="s">
        <v>14</v>
      </c>
      <c r="E55" s="11">
        <v>28144455</v>
      </c>
      <c r="F55" s="11">
        <v>56913038</v>
      </c>
      <c r="G55" s="11">
        <v>36751200</v>
      </c>
      <c r="H55" s="11">
        <v>279867</v>
      </c>
      <c r="I55" s="13">
        <f t="shared" si="0"/>
        <v>93664238</v>
      </c>
      <c r="J55" s="13">
        <f t="shared" si="1"/>
        <v>28424322</v>
      </c>
    </row>
    <row r="56" spans="1:10" ht="20" x14ac:dyDescent="0.35">
      <c r="A56" s="4" t="s">
        <v>7</v>
      </c>
      <c r="B56" s="5" t="s">
        <v>24</v>
      </c>
      <c r="C56" s="6"/>
      <c r="D56" s="4" t="s">
        <v>15</v>
      </c>
      <c r="E56" s="7">
        <v>29584117</v>
      </c>
      <c r="F56" s="7">
        <v>61633763</v>
      </c>
      <c r="G56" s="7">
        <v>38016518</v>
      </c>
      <c r="H56" s="7">
        <v>289618</v>
      </c>
      <c r="I56" s="13">
        <f t="shared" si="0"/>
        <v>99650281</v>
      </c>
      <c r="J56" s="13">
        <f t="shared" si="1"/>
        <v>29873735</v>
      </c>
    </row>
    <row r="57" spans="1:10" ht="20" x14ac:dyDescent="0.35">
      <c r="A57" s="8" t="s">
        <v>7</v>
      </c>
      <c r="B57" s="9" t="s">
        <v>24</v>
      </c>
      <c r="C57" s="10"/>
      <c r="D57" s="8" t="s">
        <v>16</v>
      </c>
      <c r="E57" s="11">
        <v>29876322</v>
      </c>
      <c r="F57" s="11">
        <v>62243882</v>
      </c>
      <c r="G57" s="11">
        <v>38059714</v>
      </c>
      <c r="H57" s="11">
        <v>300547</v>
      </c>
      <c r="I57" s="13">
        <f t="shared" si="0"/>
        <v>100303596</v>
      </c>
      <c r="J57" s="13">
        <f t="shared" si="1"/>
        <v>30176869</v>
      </c>
    </row>
    <row r="58" spans="1:10" ht="20" x14ac:dyDescent="0.35">
      <c r="A58" s="4" t="s">
        <v>7</v>
      </c>
      <c r="B58" s="5" t="s">
        <v>24</v>
      </c>
      <c r="C58" s="6"/>
      <c r="D58" s="4" t="s">
        <v>17</v>
      </c>
      <c r="E58" s="7">
        <v>29360490</v>
      </c>
      <c r="F58" s="7">
        <v>61460245</v>
      </c>
      <c r="G58" s="7">
        <v>36573135</v>
      </c>
      <c r="H58" s="7">
        <v>303874</v>
      </c>
      <c r="I58" s="13">
        <f t="shared" si="0"/>
        <v>98033380</v>
      </c>
      <c r="J58" s="13">
        <f t="shared" si="1"/>
        <v>29664364</v>
      </c>
    </row>
    <row r="59" spans="1:10" ht="20" x14ac:dyDescent="0.35">
      <c r="A59" s="8" t="s">
        <v>7</v>
      </c>
      <c r="B59" s="9" t="s">
        <v>24</v>
      </c>
      <c r="C59" s="10"/>
      <c r="D59" s="8" t="s">
        <v>18</v>
      </c>
      <c r="E59" s="11">
        <v>30792163</v>
      </c>
      <c r="F59" s="11">
        <v>63644912</v>
      </c>
      <c r="G59" s="11">
        <v>37573081</v>
      </c>
      <c r="H59" s="11">
        <v>342167</v>
      </c>
      <c r="I59" s="13">
        <f t="shared" si="0"/>
        <v>101217993</v>
      </c>
      <c r="J59" s="13">
        <f t="shared" si="1"/>
        <v>31134330</v>
      </c>
    </row>
    <row r="60" spans="1:10" ht="20" x14ac:dyDescent="0.35">
      <c r="A60" s="4" t="s">
        <v>7</v>
      </c>
      <c r="B60" s="5" t="s">
        <v>24</v>
      </c>
      <c r="C60" s="6"/>
      <c r="D60" s="4" t="s">
        <v>19</v>
      </c>
      <c r="E60" s="7">
        <v>30345288</v>
      </c>
      <c r="F60" s="7">
        <v>64074001</v>
      </c>
      <c r="G60" s="7">
        <v>36973511</v>
      </c>
      <c r="H60" s="7">
        <v>444144</v>
      </c>
      <c r="I60" s="13">
        <f t="shared" si="0"/>
        <v>101047512</v>
      </c>
      <c r="J60" s="13">
        <f t="shared" si="1"/>
        <v>30789432</v>
      </c>
    </row>
    <row r="61" spans="1:10" ht="20" x14ac:dyDescent="0.35">
      <c r="A61" s="8" t="s">
        <v>7</v>
      </c>
      <c r="B61" s="9" t="s">
        <v>24</v>
      </c>
      <c r="C61" s="10"/>
      <c r="D61" s="8" t="s">
        <v>20</v>
      </c>
      <c r="E61" s="11">
        <v>31069064</v>
      </c>
      <c r="F61" s="11">
        <v>65180784</v>
      </c>
      <c r="G61" s="11">
        <v>36926363</v>
      </c>
      <c r="H61" s="11">
        <v>476295</v>
      </c>
      <c r="I61" s="13">
        <f t="shared" si="0"/>
        <v>102107147</v>
      </c>
      <c r="J61" s="13">
        <f t="shared" si="1"/>
        <v>31545359</v>
      </c>
    </row>
    <row r="62" spans="1:10" ht="20" x14ac:dyDescent="0.35">
      <c r="A62" s="4" t="s">
        <v>7</v>
      </c>
      <c r="B62" s="5" t="s">
        <v>25</v>
      </c>
      <c r="C62" s="6"/>
      <c r="D62" s="4" t="s">
        <v>9</v>
      </c>
      <c r="E62" s="7">
        <v>31082835</v>
      </c>
      <c r="F62" s="7">
        <v>63594101</v>
      </c>
      <c r="G62" s="7">
        <v>36498664</v>
      </c>
      <c r="H62" s="7">
        <v>472859</v>
      </c>
      <c r="I62" s="13">
        <f t="shared" si="0"/>
        <v>100092765</v>
      </c>
      <c r="J62" s="13">
        <f t="shared" si="1"/>
        <v>31555694</v>
      </c>
    </row>
    <row r="63" spans="1:10" ht="20" x14ac:dyDescent="0.35">
      <c r="A63" s="8" t="s">
        <v>7</v>
      </c>
      <c r="B63" s="9" t="s">
        <v>25</v>
      </c>
      <c r="C63" s="10"/>
      <c r="D63" s="8" t="s">
        <v>10</v>
      </c>
      <c r="E63" s="11">
        <v>28616678</v>
      </c>
      <c r="F63" s="11">
        <v>60032894</v>
      </c>
      <c r="G63" s="11">
        <v>33824257</v>
      </c>
      <c r="H63" s="11">
        <v>460594</v>
      </c>
      <c r="I63" s="13">
        <f t="shared" si="0"/>
        <v>93857151</v>
      </c>
      <c r="J63" s="13">
        <f t="shared" si="1"/>
        <v>29077272</v>
      </c>
    </row>
    <row r="64" spans="1:10" ht="20" x14ac:dyDescent="0.35">
      <c r="A64" s="4" t="s">
        <v>7</v>
      </c>
      <c r="B64" s="5" t="s">
        <v>25</v>
      </c>
      <c r="C64" s="6"/>
      <c r="D64" s="4" t="s">
        <v>11</v>
      </c>
      <c r="E64" s="7">
        <v>31687236</v>
      </c>
      <c r="F64" s="7">
        <v>66091802</v>
      </c>
      <c r="G64" s="7">
        <v>36007989</v>
      </c>
      <c r="H64" s="7">
        <v>478268</v>
      </c>
      <c r="I64" s="13">
        <f t="shared" si="0"/>
        <v>102099791</v>
      </c>
      <c r="J64" s="13">
        <f t="shared" si="1"/>
        <v>32165504</v>
      </c>
    </row>
    <row r="65" spans="1:10" ht="20" x14ac:dyDescent="0.35">
      <c r="A65" s="8" t="s">
        <v>7</v>
      </c>
      <c r="B65" s="9" t="s">
        <v>25</v>
      </c>
      <c r="C65" s="10"/>
      <c r="D65" s="8" t="s">
        <v>12</v>
      </c>
      <c r="E65" s="11">
        <v>31170871</v>
      </c>
      <c r="F65" s="11">
        <v>67384887</v>
      </c>
      <c r="G65" s="11">
        <v>36101673</v>
      </c>
      <c r="H65" s="11">
        <v>545129</v>
      </c>
      <c r="I65" s="13">
        <f t="shared" si="0"/>
        <v>103486560</v>
      </c>
      <c r="J65" s="13">
        <f t="shared" si="1"/>
        <v>31716000</v>
      </c>
    </row>
    <row r="66" spans="1:10" ht="20" x14ac:dyDescent="0.35">
      <c r="A66" s="4" t="s">
        <v>7</v>
      </c>
      <c r="B66" s="5" t="s">
        <v>25</v>
      </c>
      <c r="C66" s="6"/>
      <c r="D66" s="4" t="s">
        <v>13</v>
      </c>
      <c r="E66" s="7">
        <v>32567163</v>
      </c>
      <c r="F66" s="7">
        <v>69934790</v>
      </c>
      <c r="G66" s="7">
        <v>36687609</v>
      </c>
      <c r="H66" s="7">
        <v>599704</v>
      </c>
      <c r="I66" s="13">
        <f t="shared" si="0"/>
        <v>106622399</v>
      </c>
      <c r="J66" s="13">
        <f t="shared" si="1"/>
        <v>33166867</v>
      </c>
    </row>
    <row r="67" spans="1:10" ht="20" x14ac:dyDescent="0.35">
      <c r="A67" s="8" t="s">
        <v>7</v>
      </c>
      <c r="B67" s="9" t="s">
        <v>25</v>
      </c>
      <c r="C67" s="10"/>
      <c r="D67" s="8" t="s">
        <v>14</v>
      </c>
      <c r="E67" s="11">
        <v>31297424</v>
      </c>
      <c r="F67" s="11">
        <v>69106084</v>
      </c>
      <c r="G67" s="11">
        <v>36441275</v>
      </c>
      <c r="H67" s="11">
        <v>654678</v>
      </c>
      <c r="I67" s="13">
        <f t="shared" ref="I67:I130" si="2">SUM(F67,G67)</f>
        <v>105547359</v>
      </c>
      <c r="J67" s="13">
        <f t="shared" ref="J67:J130" si="3">SUM(E67, H67)</f>
        <v>31952102</v>
      </c>
    </row>
    <row r="68" spans="1:10" ht="20" x14ac:dyDescent="0.35">
      <c r="A68" s="4" t="s">
        <v>7</v>
      </c>
      <c r="B68" s="5" t="s">
        <v>25</v>
      </c>
      <c r="C68" s="6"/>
      <c r="D68" s="4" t="s">
        <v>15</v>
      </c>
      <c r="E68" s="7">
        <v>32959262</v>
      </c>
      <c r="F68" s="7">
        <v>72021667</v>
      </c>
      <c r="G68" s="7">
        <v>36935204</v>
      </c>
      <c r="H68" s="7">
        <v>678733</v>
      </c>
      <c r="I68" s="13">
        <f t="shared" si="2"/>
        <v>108956871</v>
      </c>
      <c r="J68" s="13">
        <f t="shared" si="3"/>
        <v>33637995</v>
      </c>
    </row>
    <row r="69" spans="1:10" ht="20" x14ac:dyDescent="0.35">
      <c r="A69" s="8" t="s">
        <v>7</v>
      </c>
      <c r="B69" s="9" t="s">
        <v>25</v>
      </c>
      <c r="C69" s="10"/>
      <c r="D69" s="8" t="s">
        <v>16</v>
      </c>
      <c r="E69" s="11">
        <v>33291642</v>
      </c>
      <c r="F69" s="11">
        <v>73554964</v>
      </c>
      <c r="G69" s="11">
        <v>37240008</v>
      </c>
      <c r="H69" s="11">
        <v>734034</v>
      </c>
      <c r="I69" s="13">
        <f t="shared" si="2"/>
        <v>110794972</v>
      </c>
      <c r="J69" s="13">
        <f t="shared" si="3"/>
        <v>34025676</v>
      </c>
    </row>
    <row r="70" spans="1:10" ht="20" x14ac:dyDescent="0.35">
      <c r="A70" s="4" t="s">
        <v>7</v>
      </c>
      <c r="B70" s="5" t="s">
        <v>25</v>
      </c>
      <c r="C70" s="6"/>
      <c r="D70" s="4" t="s">
        <v>17</v>
      </c>
      <c r="E70" s="7">
        <v>32845218</v>
      </c>
      <c r="F70" s="7">
        <v>73492107</v>
      </c>
      <c r="G70" s="7">
        <v>36423019</v>
      </c>
      <c r="H70" s="7">
        <v>773203</v>
      </c>
      <c r="I70" s="13">
        <f t="shared" si="2"/>
        <v>109915126</v>
      </c>
      <c r="J70" s="13">
        <f t="shared" si="3"/>
        <v>33618421</v>
      </c>
    </row>
    <row r="71" spans="1:10" ht="20" x14ac:dyDescent="0.35">
      <c r="A71" s="8" t="s">
        <v>7</v>
      </c>
      <c r="B71" s="9" t="s">
        <v>25</v>
      </c>
      <c r="C71" s="10"/>
      <c r="D71" s="8" t="s">
        <v>18</v>
      </c>
      <c r="E71" s="11">
        <v>34458074</v>
      </c>
      <c r="F71" s="11">
        <v>75690325</v>
      </c>
      <c r="G71" s="11">
        <v>38677942</v>
      </c>
      <c r="H71" s="11">
        <v>933245</v>
      </c>
      <c r="I71" s="13">
        <f t="shared" si="2"/>
        <v>114368267</v>
      </c>
      <c r="J71" s="13">
        <f t="shared" si="3"/>
        <v>35391319</v>
      </c>
    </row>
    <row r="72" spans="1:10" ht="20" x14ac:dyDescent="0.35">
      <c r="A72" s="4" t="s">
        <v>7</v>
      </c>
      <c r="B72" s="5" t="s">
        <v>25</v>
      </c>
      <c r="C72" s="6"/>
      <c r="D72" s="4" t="s">
        <v>19</v>
      </c>
      <c r="E72" s="7">
        <v>33031327</v>
      </c>
      <c r="F72" s="7">
        <v>71910973</v>
      </c>
      <c r="G72" s="7">
        <v>37049696</v>
      </c>
      <c r="H72" s="7">
        <v>870170</v>
      </c>
      <c r="I72" s="13">
        <f t="shared" si="2"/>
        <v>108960669</v>
      </c>
      <c r="J72" s="13">
        <f t="shared" si="3"/>
        <v>33901497</v>
      </c>
    </row>
    <row r="73" spans="1:10" ht="20" x14ac:dyDescent="0.35">
      <c r="A73" s="8" t="s">
        <v>7</v>
      </c>
      <c r="B73" s="9" t="s">
        <v>25</v>
      </c>
      <c r="C73" s="10"/>
      <c r="D73" s="8" t="s">
        <v>20</v>
      </c>
      <c r="E73" s="11">
        <v>34886856</v>
      </c>
      <c r="F73" s="11">
        <v>74104173</v>
      </c>
      <c r="G73" s="11">
        <v>37823725</v>
      </c>
      <c r="H73" s="11">
        <v>985053</v>
      </c>
      <c r="I73" s="13">
        <f t="shared" si="2"/>
        <v>111927898</v>
      </c>
      <c r="J73" s="13">
        <f t="shared" si="3"/>
        <v>35871909</v>
      </c>
    </row>
    <row r="74" spans="1:10" ht="20" x14ac:dyDescent="0.35">
      <c r="A74" s="4" t="s">
        <v>7</v>
      </c>
      <c r="B74" s="5" t="s">
        <v>26</v>
      </c>
      <c r="C74" s="6"/>
      <c r="D74" s="4" t="s">
        <v>9</v>
      </c>
      <c r="E74" s="7">
        <v>35683639</v>
      </c>
      <c r="F74" s="7">
        <v>77736815</v>
      </c>
      <c r="G74" s="7">
        <v>38518040</v>
      </c>
      <c r="H74" s="7">
        <v>1120408</v>
      </c>
      <c r="I74" s="13">
        <f t="shared" si="2"/>
        <v>116254855</v>
      </c>
      <c r="J74" s="13">
        <f t="shared" si="3"/>
        <v>36804047</v>
      </c>
    </row>
    <row r="75" spans="1:10" ht="20" x14ac:dyDescent="0.35">
      <c r="A75" s="8" t="s">
        <v>7</v>
      </c>
      <c r="B75" s="9" t="s">
        <v>26</v>
      </c>
      <c r="C75" s="10"/>
      <c r="D75" s="8" t="s">
        <v>10</v>
      </c>
      <c r="E75" s="11">
        <v>32654028</v>
      </c>
      <c r="F75" s="11">
        <v>72290742</v>
      </c>
      <c r="G75" s="11">
        <v>34154298</v>
      </c>
      <c r="H75" s="11">
        <v>1059250</v>
      </c>
      <c r="I75" s="13">
        <f t="shared" si="2"/>
        <v>106445040</v>
      </c>
      <c r="J75" s="13">
        <f t="shared" si="3"/>
        <v>33713278</v>
      </c>
    </row>
    <row r="76" spans="1:10" ht="20" x14ac:dyDescent="0.35">
      <c r="A76" s="4" t="s">
        <v>7</v>
      </c>
      <c r="B76" s="5" t="s">
        <v>26</v>
      </c>
      <c r="C76" s="6"/>
      <c r="D76" s="4" t="s">
        <v>11</v>
      </c>
      <c r="E76" s="7">
        <v>37046595</v>
      </c>
      <c r="F76" s="7">
        <v>85174660</v>
      </c>
      <c r="G76" s="7">
        <v>38357461</v>
      </c>
      <c r="H76" s="7">
        <v>1267901</v>
      </c>
      <c r="I76" s="13">
        <f t="shared" si="2"/>
        <v>123532121</v>
      </c>
      <c r="J76" s="13">
        <f t="shared" si="3"/>
        <v>38314496</v>
      </c>
    </row>
    <row r="77" spans="1:10" ht="20" x14ac:dyDescent="0.35">
      <c r="A77" s="8" t="s">
        <v>7</v>
      </c>
      <c r="B77" s="9" t="s">
        <v>26</v>
      </c>
      <c r="C77" s="10"/>
      <c r="D77" s="8" t="s">
        <v>12</v>
      </c>
      <c r="E77" s="11">
        <v>36205631</v>
      </c>
      <c r="F77" s="11">
        <v>83487157</v>
      </c>
      <c r="G77" s="11">
        <v>38373363</v>
      </c>
      <c r="H77" s="11">
        <v>1363549</v>
      </c>
      <c r="I77" s="13">
        <f t="shared" si="2"/>
        <v>121860520</v>
      </c>
      <c r="J77" s="13">
        <f t="shared" si="3"/>
        <v>37569180</v>
      </c>
    </row>
    <row r="78" spans="1:10" ht="20" x14ac:dyDescent="0.35">
      <c r="A78" s="4" t="s">
        <v>7</v>
      </c>
      <c r="B78" s="5" t="s">
        <v>26</v>
      </c>
      <c r="C78" s="6"/>
      <c r="D78" s="4" t="s">
        <v>13</v>
      </c>
      <c r="E78" s="7">
        <v>37587965</v>
      </c>
      <c r="F78" s="7">
        <v>88101577</v>
      </c>
      <c r="G78" s="7">
        <v>39819120</v>
      </c>
      <c r="H78" s="7">
        <v>1614500</v>
      </c>
      <c r="I78" s="13">
        <f t="shared" si="2"/>
        <v>127920697</v>
      </c>
      <c r="J78" s="13">
        <f t="shared" si="3"/>
        <v>39202465</v>
      </c>
    </row>
    <row r="79" spans="1:10" ht="20" x14ac:dyDescent="0.35">
      <c r="A79" s="8" t="s">
        <v>7</v>
      </c>
      <c r="B79" s="9" t="s">
        <v>26</v>
      </c>
      <c r="C79" s="10"/>
      <c r="D79" s="8" t="s">
        <v>14</v>
      </c>
      <c r="E79" s="11">
        <v>36410236</v>
      </c>
      <c r="F79" s="11">
        <v>87252074</v>
      </c>
      <c r="G79" s="11">
        <v>39907367</v>
      </c>
      <c r="H79" s="11">
        <v>1762863</v>
      </c>
      <c r="I79" s="13">
        <f t="shared" si="2"/>
        <v>127159441</v>
      </c>
      <c r="J79" s="13">
        <f t="shared" si="3"/>
        <v>38173099</v>
      </c>
    </row>
    <row r="80" spans="1:10" ht="20" x14ac:dyDescent="0.35">
      <c r="A80" s="4" t="s">
        <v>7</v>
      </c>
      <c r="B80" s="5" t="s">
        <v>26</v>
      </c>
      <c r="C80" s="6"/>
      <c r="D80" s="4" t="s">
        <v>15</v>
      </c>
      <c r="E80" s="7">
        <v>38653248</v>
      </c>
      <c r="F80" s="7">
        <v>92198962</v>
      </c>
      <c r="G80" s="7">
        <v>41551540</v>
      </c>
      <c r="H80" s="7">
        <v>1931638</v>
      </c>
      <c r="I80" s="13">
        <f t="shared" si="2"/>
        <v>133750502</v>
      </c>
      <c r="J80" s="13">
        <f t="shared" si="3"/>
        <v>40584886</v>
      </c>
    </row>
    <row r="81" spans="1:10" ht="20" x14ac:dyDescent="0.35">
      <c r="A81" s="8" t="s">
        <v>7</v>
      </c>
      <c r="B81" s="9" t="s">
        <v>26</v>
      </c>
      <c r="C81" s="10"/>
      <c r="D81" s="8" t="s">
        <v>16</v>
      </c>
      <c r="E81" s="11">
        <v>39643683</v>
      </c>
      <c r="F81" s="11">
        <v>95351852</v>
      </c>
      <c r="G81" s="11">
        <v>42546922</v>
      </c>
      <c r="H81" s="11">
        <v>2050606</v>
      </c>
      <c r="I81" s="13">
        <f t="shared" si="2"/>
        <v>137898774</v>
      </c>
      <c r="J81" s="13">
        <f t="shared" si="3"/>
        <v>41694289</v>
      </c>
    </row>
    <row r="82" spans="1:10" ht="20" x14ac:dyDescent="0.35">
      <c r="A82" s="4" t="s">
        <v>7</v>
      </c>
      <c r="B82" s="5" t="s">
        <v>26</v>
      </c>
      <c r="C82" s="6"/>
      <c r="D82" s="4" t="s">
        <v>17</v>
      </c>
      <c r="E82" s="7">
        <v>38632675</v>
      </c>
      <c r="F82" s="7">
        <v>91140305</v>
      </c>
      <c r="G82" s="7">
        <v>38658481</v>
      </c>
      <c r="H82" s="7">
        <v>1688935</v>
      </c>
      <c r="I82" s="13">
        <f t="shared" si="2"/>
        <v>129798786</v>
      </c>
      <c r="J82" s="13">
        <f t="shared" si="3"/>
        <v>40321610</v>
      </c>
    </row>
    <row r="83" spans="1:10" ht="20" x14ac:dyDescent="0.35">
      <c r="A83" s="8" t="s">
        <v>7</v>
      </c>
      <c r="B83" s="9" t="s">
        <v>26</v>
      </c>
      <c r="C83" s="10"/>
      <c r="D83" s="8" t="s">
        <v>18</v>
      </c>
      <c r="E83" s="11">
        <v>40808861</v>
      </c>
      <c r="F83" s="11">
        <v>96589351</v>
      </c>
      <c r="G83" s="11">
        <v>42763094</v>
      </c>
      <c r="H83" s="11">
        <v>2247973</v>
      </c>
      <c r="I83" s="13">
        <f t="shared" si="2"/>
        <v>139352445</v>
      </c>
      <c r="J83" s="13">
        <f t="shared" si="3"/>
        <v>43056834</v>
      </c>
    </row>
    <row r="84" spans="1:10" ht="20" x14ac:dyDescent="0.35">
      <c r="A84" s="4" t="s">
        <v>7</v>
      </c>
      <c r="B84" s="5" t="s">
        <v>26</v>
      </c>
      <c r="C84" s="6"/>
      <c r="D84" s="4" t="s">
        <v>19</v>
      </c>
      <c r="E84" s="7">
        <v>40874457</v>
      </c>
      <c r="F84" s="7">
        <v>93561941</v>
      </c>
      <c r="G84" s="7">
        <v>41451897</v>
      </c>
      <c r="H84" s="7">
        <v>2301977</v>
      </c>
      <c r="I84" s="13">
        <f t="shared" si="2"/>
        <v>135013838</v>
      </c>
      <c r="J84" s="13">
        <f t="shared" si="3"/>
        <v>43176434</v>
      </c>
    </row>
    <row r="85" spans="1:10" ht="20" x14ac:dyDescent="0.35">
      <c r="A85" s="8" t="s">
        <v>7</v>
      </c>
      <c r="B85" s="9" t="s">
        <v>26</v>
      </c>
      <c r="C85" s="10"/>
      <c r="D85" s="8" t="s">
        <v>20</v>
      </c>
      <c r="E85" s="11">
        <v>42385350</v>
      </c>
      <c r="F85" s="11">
        <v>97365712</v>
      </c>
      <c r="G85" s="11">
        <v>43633773</v>
      </c>
      <c r="H85" s="11">
        <v>2443960</v>
      </c>
      <c r="I85" s="13">
        <f t="shared" si="2"/>
        <v>140999485</v>
      </c>
      <c r="J85" s="13">
        <f t="shared" si="3"/>
        <v>44829310</v>
      </c>
    </row>
    <row r="86" spans="1:10" ht="20" x14ac:dyDescent="0.35">
      <c r="A86" s="4" t="s">
        <v>7</v>
      </c>
      <c r="B86" s="5" t="s">
        <v>27</v>
      </c>
      <c r="C86" s="6"/>
      <c r="D86" s="4" t="s">
        <v>9</v>
      </c>
      <c r="E86" s="7">
        <v>39823328</v>
      </c>
      <c r="F86" s="7">
        <v>88861604</v>
      </c>
      <c r="G86" s="7">
        <v>39819884</v>
      </c>
      <c r="H86" s="7">
        <v>2247194</v>
      </c>
      <c r="I86" s="13">
        <f t="shared" si="2"/>
        <v>128681488</v>
      </c>
      <c r="J86" s="13">
        <f t="shared" si="3"/>
        <v>42070522</v>
      </c>
    </row>
    <row r="87" spans="1:10" ht="20" x14ac:dyDescent="0.35">
      <c r="A87" s="8" t="s">
        <v>7</v>
      </c>
      <c r="B87" s="9" t="s">
        <v>27</v>
      </c>
      <c r="C87" s="10"/>
      <c r="D87" s="8" t="s">
        <v>10</v>
      </c>
      <c r="E87" s="11">
        <v>38308261</v>
      </c>
      <c r="F87" s="11">
        <v>88805781</v>
      </c>
      <c r="G87" s="11">
        <v>38111356</v>
      </c>
      <c r="H87" s="11">
        <v>2141320</v>
      </c>
      <c r="I87" s="13">
        <f t="shared" si="2"/>
        <v>126917137</v>
      </c>
      <c r="J87" s="13">
        <f t="shared" si="3"/>
        <v>40449581</v>
      </c>
    </row>
    <row r="88" spans="1:10" ht="20" x14ac:dyDescent="0.35">
      <c r="A88" s="4" t="s">
        <v>7</v>
      </c>
      <c r="B88" s="5" t="s">
        <v>27</v>
      </c>
      <c r="C88" s="6"/>
      <c r="D88" s="4" t="s">
        <v>11</v>
      </c>
      <c r="E88" s="7">
        <v>43597623</v>
      </c>
      <c r="F88" s="7">
        <v>100249276</v>
      </c>
      <c r="G88" s="7">
        <v>44869713</v>
      </c>
      <c r="H88" s="7">
        <v>2779882</v>
      </c>
      <c r="I88" s="13">
        <f t="shared" si="2"/>
        <v>145118989</v>
      </c>
      <c r="J88" s="13">
        <f t="shared" si="3"/>
        <v>46377505</v>
      </c>
    </row>
    <row r="89" spans="1:10" ht="20" x14ac:dyDescent="0.35">
      <c r="A89" s="8" t="s">
        <v>7</v>
      </c>
      <c r="B89" s="9" t="s">
        <v>27</v>
      </c>
      <c r="C89" s="10"/>
      <c r="D89" s="8" t="s">
        <v>12</v>
      </c>
      <c r="E89" s="11">
        <v>42260872</v>
      </c>
      <c r="F89" s="11">
        <v>101246541</v>
      </c>
      <c r="G89" s="11">
        <v>44488327</v>
      </c>
      <c r="H89" s="11">
        <v>3116966</v>
      </c>
      <c r="I89" s="13">
        <f t="shared" si="2"/>
        <v>145734868</v>
      </c>
      <c r="J89" s="13">
        <f t="shared" si="3"/>
        <v>45377838</v>
      </c>
    </row>
    <row r="90" spans="1:10" ht="20" x14ac:dyDescent="0.35">
      <c r="A90" s="4" t="s">
        <v>7</v>
      </c>
      <c r="B90" s="5" t="s">
        <v>27</v>
      </c>
      <c r="C90" s="6"/>
      <c r="D90" s="4" t="s">
        <v>13</v>
      </c>
      <c r="E90" s="7">
        <v>43206039</v>
      </c>
      <c r="F90" s="7">
        <v>106153052</v>
      </c>
      <c r="G90" s="7">
        <v>46624886</v>
      </c>
      <c r="H90" s="7">
        <v>3512981</v>
      </c>
      <c r="I90" s="13">
        <f t="shared" si="2"/>
        <v>152777938</v>
      </c>
      <c r="J90" s="13">
        <f t="shared" si="3"/>
        <v>46719020</v>
      </c>
    </row>
    <row r="91" spans="1:10" ht="20" x14ac:dyDescent="0.35">
      <c r="A91" s="8" t="s">
        <v>7</v>
      </c>
      <c r="B91" s="9" t="s">
        <v>27</v>
      </c>
      <c r="C91" s="10"/>
      <c r="D91" s="8" t="s">
        <v>14</v>
      </c>
      <c r="E91" s="11">
        <v>41955801</v>
      </c>
      <c r="F91" s="11">
        <v>105677532</v>
      </c>
      <c r="G91" s="11">
        <v>47403118</v>
      </c>
      <c r="H91" s="11">
        <v>3409470</v>
      </c>
      <c r="I91" s="13">
        <f t="shared" si="2"/>
        <v>153080650</v>
      </c>
      <c r="J91" s="13">
        <f t="shared" si="3"/>
        <v>45365271</v>
      </c>
    </row>
    <row r="92" spans="1:10" ht="20" x14ac:dyDescent="0.35">
      <c r="A92" s="4" t="s">
        <v>7</v>
      </c>
      <c r="B92" s="5" t="s">
        <v>27</v>
      </c>
      <c r="C92" s="6"/>
      <c r="D92" s="4" t="s">
        <v>15</v>
      </c>
      <c r="E92" s="7">
        <v>43004317</v>
      </c>
      <c r="F92" s="7">
        <v>109493217</v>
      </c>
      <c r="G92" s="7">
        <v>47659537</v>
      </c>
      <c r="H92" s="7">
        <v>3375547</v>
      </c>
      <c r="I92" s="13">
        <f t="shared" si="2"/>
        <v>157152754</v>
      </c>
      <c r="J92" s="13">
        <f t="shared" si="3"/>
        <v>46379864</v>
      </c>
    </row>
    <row r="93" spans="1:10" ht="20" x14ac:dyDescent="0.35">
      <c r="A93" s="8" t="s">
        <v>7</v>
      </c>
      <c r="B93" s="9" t="s">
        <v>27</v>
      </c>
      <c r="C93" s="10"/>
      <c r="D93" s="8" t="s">
        <v>16</v>
      </c>
      <c r="E93" s="11">
        <v>43666438</v>
      </c>
      <c r="F93" s="11">
        <v>110594065</v>
      </c>
      <c r="G93" s="11">
        <v>49706037</v>
      </c>
      <c r="H93" s="11">
        <v>3598682</v>
      </c>
      <c r="I93" s="13">
        <f t="shared" si="2"/>
        <v>160300102</v>
      </c>
      <c r="J93" s="13">
        <f t="shared" si="3"/>
        <v>47265120</v>
      </c>
    </row>
    <row r="94" spans="1:10" ht="20" x14ac:dyDescent="0.35">
      <c r="A94" s="4" t="s">
        <v>7</v>
      </c>
      <c r="B94" s="5" t="s">
        <v>27</v>
      </c>
      <c r="C94" s="6"/>
      <c r="D94" s="4" t="s">
        <v>17</v>
      </c>
      <c r="E94" s="7">
        <v>42901550</v>
      </c>
      <c r="F94" s="7">
        <v>107369491</v>
      </c>
      <c r="G94" s="7">
        <v>48276658</v>
      </c>
      <c r="H94" s="7">
        <v>3524003</v>
      </c>
      <c r="I94" s="13">
        <f t="shared" si="2"/>
        <v>155646149</v>
      </c>
      <c r="J94" s="13">
        <f t="shared" si="3"/>
        <v>46425553</v>
      </c>
    </row>
    <row r="95" spans="1:10" ht="20" x14ac:dyDescent="0.35">
      <c r="A95" s="8" t="s">
        <v>7</v>
      </c>
      <c r="B95" s="9" t="s">
        <v>27</v>
      </c>
      <c r="C95" s="10"/>
      <c r="D95" s="8" t="s">
        <v>18</v>
      </c>
      <c r="E95" s="11">
        <v>44055849</v>
      </c>
      <c r="F95" s="11">
        <v>108252268</v>
      </c>
      <c r="G95" s="11">
        <v>49332550</v>
      </c>
      <c r="H95" s="11">
        <v>3718827</v>
      </c>
      <c r="I95" s="13">
        <f t="shared" si="2"/>
        <v>157584818</v>
      </c>
      <c r="J95" s="13">
        <f t="shared" si="3"/>
        <v>47774676</v>
      </c>
    </row>
    <row r="96" spans="1:10" ht="20" x14ac:dyDescent="0.35">
      <c r="A96" s="4" t="s">
        <v>7</v>
      </c>
      <c r="B96" s="5" t="s">
        <v>27</v>
      </c>
      <c r="C96" s="6"/>
      <c r="D96" s="4" t="s">
        <v>19</v>
      </c>
      <c r="E96" s="7">
        <v>43569080</v>
      </c>
      <c r="F96" s="7">
        <v>105314708</v>
      </c>
      <c r="G96" s="7">
        <v>49540196</v>
      </c>
      <c r="H96" s="7">
        <v>3713693</v>
      </c>
      <c r="I96" s="13">
        <f t="shared" si="2"/>
        <v>154854904</v>
      </c>
      <c r="J96" s="13">
        <f t="shared" si="3"/>
        <v>47282773</v>
      </c>
    </row>
    <row r="97" spans="1:10" ht="20" x14ac:dyDescent="0.35">
      <c r="A97" s="8" t="s">
        <v>7</v>
      </c>
      <c r="B97" s="9" t="s">
        <v>27</v>
      </c>
      <c r="C97" s="10"/>
      <c r="D97" s="8" t="s">
        <v>20</v>
      </c>
      <c r="E97" s="11">
        <v>43684325</v>
      </c>
      <c r="F97" s="11">
        <v>105180452</v>
      </c>
      <c r="G97" s="11">
        <v>45887045</v>
      </c>
      <c r="H97" s="11">
        <v>3268884</v>
      </c>
      <c r="I97" s="13">
        <f t="shared" si="2"/>
        <v>151067497</v>
      </c>
      <c r="J97" s="13">
        <f t="shared" si="3"/>
        <v>46953209</v>
      </c>
    </row>
    <row r="98" spans="1:10" ht="20" x14ac:dyDescent="0.35">
      <c r="A98" s="4" t="s">
        <v>7</v>
      </c>
      <c r="B98" s="5" t="s">
        <v>28</v>
      </c>
      <c r="C98" s="6"/>
      <c r="D98" s="4" t="s">
        <v>9</v>
      </c>
      <c r="E98" s="7">
        <v>45281904</v>
      </c>
      <c r="F98" s="7">
        <v>106225990</v>
      </c>
      <c r="G98" s="7">
        <v>47293514</v>
      </c>
      <c r="H98" s="7">
        <v>3521552</v>
      </c>
      <c r="I98" s="13">
        <f t="shared" si="2"/>
        <v>153519504</v>
      </c>
      <c r="J98" s="13">
        <f t="shared" si="3"/>
        <v>48803456</v>
      </c>
    </row>
    <row r="99" spans="1:10" ht="20" x14ac:dyDescent="0.35">
      <c r="A99" s="8" t="s">
        <v>7</v>
      </c>
      <c r="B99" s="9" t="s">
        <v>28</v>
      </c>
      <c r="C99" s="10"/>
      <c r="D99" s="8" t="s">
        <v>10</v>
      </c>
      <c r="E99" s="11">
        <v>42557433</v>
      </c>
      <c r="F99" s="11">
        <v>101682711</v>
      </c>
      <c r="G99" s="11">
        <v>45343866</v>
      </c>
      <c r="H99" s="11">
        <v>3492912</v>
      </c>
      <c r="I99" s="13">
        <f t="shared" si="2"/>
        <v>147026577</v>
      </c>
      <c r="J99" s="13">
        <f t="shared" si="3"/>
        <v>46050345</v>
      </c>
    </row>
    <row r="100" spans="1:10" ht="20" x14ac:dyDescent="0.35">
      <c r="A100" s="4" t="s">
        <v>7</v>
      </c>
      <c r="B100" s="5" t="s">
        <v>28</v>
      </c>
      <c r="C100" s="6"/>
      <c r="D100" s="4" t="s">
        <v>11</v>
      </c>
      <c r="E100" s="7">
        <v>45888123</v>
      </c>
      <c r="F100" s="7">
        <v>111808283</v>
      </c>
      <c r="G100" s="7">
        <v>48232286</v>
      </c>
      <c r="H100" s="7">
        <v>3797522</v>
      </c>
      <c r="I100" s="13">
        <f t="shared" si="2"/>
        <v>160040569</v>
      </c>
      <c r="J100" s="13">
        <f t="shared" si="3"/>
        <v>49685645</v>
      </c>
    </row>
    <row r="101" spans="1:10" ht="20" x14ac:dyDescent="0.35">
      <c r="A101" s="8" t="s">
        <v>7</v>
      </c>
      <c r="B101" s="9" t="s">
        <v>28</v>
      </c>
      <c r="C101" s="10"/>
      <c r="D101" s="8" t="s">
        <v>12</v>
      </c>
      <c r="E101" s="11">
        <v>44350195</v>
      </c>
      <c r="F101" s="11">
        <v>108875898</v>
      </c>
      <c r="G101" s="11">
        <v>47240544</v>
      </c>
      <c r="H101" s="11">
        <v>3884057</v>
      </c>
      <c r="I101" s="13">
        <f t="shared" si="2"/>
        <v>156116442</v>
      </c>
      <c r="J101" s="13">
        <f t="shared" si="3"/>
        <v>48234252</v>
      </c>
    </row>
    <row r="102" spans="1:10" ht="20" x14ac:dyDescent="0.35">
      <c r="A102" s="4" t="s">
        <v>7</v>
      </c>
      <c r="B102" s="5" t="s">
        <v>28</v>
      </c>
      <c r="C102" s="6"/>
      <c r="D102" s="4" t="s">
        <v>13</v>
      </c>
      <c r="E102" s="7">
        <v>46109664</v>
      </c>
      <c r="F102" s="7">
        <v>113485121</v>
      </c>
      <c r="G102" s="7">
        <v>49105028</v>
      </c>
      <c r="H102" s="7">
        <v>4060847</v>
      </c>
      <c r="I102" s="13">
        <f t="shared" si="2"/>
        <v>162590149</v>
      </c>
      <c r="J102" s="13">
        <f t="shared" si="3"/>
        <v>50170511</v>
      </c>
    </row>
    <row r="103" spans="1:10" ht="20" x14ac:dyDescent="0.35">
      <c r="A103" s="8" t="s">
        <v>7</v>
      </c>
      <c r="B103" s="9" t="s">
        <v>28</v>
      </c>
      <c r="C103" s="10"/>
      <c r="D103" s="8" t="s">
        <v>14</v>
      </c>
      <c r="E103" s="11">
        <v>44763281</v>
      </c>
      <c r="F103" s="11">
        <v>111942152</v>
      </c>
      <c r="G103" s="11">
        <v>49916986</v>
      </c>
      <c r="H103" s="11">
        <v>4178974</v>
      </c>
      <c r="I103" s="13">
        <f t="shared" si="2"/>
        <v>161859138</v>
      </c>
      <c r="J103" s="13">
        <f t="shared" si="3"/>
        <v>48942255</v>
      </c>
    </row>
    <row r="104" spans="1:10" ht="20" x14ac:dyDescent="0.35">
      <c r="A104" s="4" t="s">
        <v>7</v>
      </c>
      <c r="B104" s="5" t="s">
        <v>28</v>
      </c>
      <c r="C104" s="6"/>
      <c r="D104" s="4" t="s">
        <v>15</v>
      </c>
      <c r="E104" s="7">
        <v>46932075</v>
      </c>
      <c r="F104" s="7">
        <v>117683787</v>
      </c>
      <c r="G104" s="7">
        <v>52282147</v>
      </c>
      <c r="H104" s="7">
        <v>4559430</v>
      </c>
      <c r="I104" s="13">
        <f t="shared" si="2"/>
        <v>169965934</v>
      </c>
      <c r="J104" s="13">
        <f t="shared" si="3"/>
        <v>51491505</v>
      </c>
    </row>
    <row r="105" spans="1:10" ht="20" x14ac:dyDescent="0.35">
      <c r="A105" s="8" t="s">
        <v>7</v>
      </c>
      <c r="B105" s="9" t="s">
        <v>28</v>
      </c>
      <c r="C105" s="10"/>
      <c r="D105" s="8" t="s">
        <v>16</v>
      </c>
      <c r="E105" s="11">
        <v>47429437</v>
      </c>
      <c r="F105" s="11">
        <v>119487469</v>
      </c>
      <c r="G105" s="11">
        <v>53205553</v>
      </c>
      <c r="H105" s="11">
        <v>4711961</v>
      </c>
      <c r="I105" s="13">
        <f t="shared" si="2"/>
        <v>172693022</v>
      </c>
      <c r="J105" s="13">
        <f t="shared" si="3"/>
        <v>52141398</v>
      </c>
    </row>
    <row r="106" spans="1:10" ht="20" x14ac:dyDescent="0.35">
      <c r="A106" s="4" t="s">
        <v>7</v>
      </c>
      <c r="B106" s="5" t="s">
        <v>28</v>
      </c>
      <c r="C106" s="6"/>
      <c r="D106" s="4" t="s">
        <v>17</v>
      </c>
      <c r="E106" s="7">
        <v>45346345</v>
      </c>
      <c r="F106" s="7">
        <v>114687001</v>
      </c>
      <c r="G106" s="7">
        <v>50583336</v>
      </c>
      <c r="H106" s="7">
        <v>4573172</v>
      </c>
      <c r="I106" s="13">
        <f t="shared" si="2"/>
        <v>165270337</v>
      </c>
      <c r="J106" s="13">
        <f t="shared" si="3"/>
        <v>49919517</v>
      </c>
    </row>
    <row r="107" spans="1:10" ht="20" x14ac:dyDescent="0.35">
      <c r="A107" s="8" t="s">
        <v>7</v>
      </c>
      <c r="B107" s="9" t="s">
        <v>28</v>
      </c>
      <c r="C107" s="10"/>
      <c r="D107" s="8" t="s">
        <v>18</v>
      </c>
      <c r="E107" s="11">
        <v>48112634</v>
      </c>
      <c r="F107" s="11">
        <v>120067065</v>
      </c>
      <c r="G107" s="11">
        <v>53615032</v>
      </c>
      <c r="H107" s="11">
        <v>4811208</v>
      </c>
      <c r="I107" s="13">
        <f t="shared" si="2"/>
        <v>173682097</v>
      </c>
      <c r="J107" s="13">
        <f t="shared" si="3"/>
        <v>52923842</v>
      </c>
    </row>
    <row r="108" spans="1:10" ht="20" x14ac:dyDescent="0.35">
      <c r="A108" s="4" t="s">
        <v>7</v>
      </c>
      <c r="B108" s="5" t="s">
        <v>28</v>
      </c>
      <c r="C108" s="6"/>
      <c r="D108" s="4" t="s">
        <v>19</v>
      </c>
      <c r="E108" s="7">
        <v>47241135</v>
      </c>
      <c r="F108" s="7">
        <v>115869327</v>
      </c>
      <c r="G108" s="7">
        <v>50103433</v>
      </c>
      <c r="H108" s="7">
        <v>4370589</v>
      </c>
      <c r="I108" s="13">
        <f t="shared" si="2"/>
        <v>165972760</v>
      </c>
      <c r="J108" s="13">
        <f t="shared" si="3"/>
        <v>51611724</v>
      </c>
    </row>
    <row r="109" spans="1:10" ht="20" x14ac:dyDescent="0.35">
      <c r="A109" s="8" t="s">
        <v>7</v>
      </c>
      <c r="B109" s="9" t="s">
        <v>28</v>
      </c>
      <c r="C109" s="10"/>
      <c r="D109" s="8" t="s">
        <v>20</v>
      </c>
      <c r="E109" s="11">
        <v>48896611</v>
      </c>
      <c r="F109" s="11">
        <v>116679206</v>
      </c>
      <c r="G109" s="11">
        <v>50865183</v>
      </c>
      <c r="H109" s="11">
        <v>4418168</v>
      </c>
      <c r="I109" s="13">
        <f t="shared" si="2"/>
        <v>167544389</v>
      </c>
      <c r="J109" s="13">
        <f t="shared" si="3"/>
        <v>53314779</v>
      </c>
    </row>
    <row r="110" spans="1:10" ht="20" x14ac:dyDescent="0.35">
      <c r="A110" s="4" t="s">
        <v>7</v>
      </c>
      <c r="B110" s="5" t="s">
        <v>29</v>
      </c>
      <c r="C110" s="6"/>
      <c r="D110" s="4" t="s">
        <v>9</v>
      </c>
      <c r="E110" s="7">
        <v>49434136</v>
      </c>
      <c r="F110" s="7">
        <v>118154036</v>
      </c>
      <c r="G110" s="7">
        <v>52716827</v>
      </c>
      <c r="H110" s="7">
        <v>4788684</v>
      </c>
      <c r="I110" s="13">
        <f t="shared" si="2"/>
        <v>170870863</v>
      </c>
      <c r="J110" s="13">
        <f t="shared" si="3"/>
        <v>54222820</v>
      </c>
    </row>
    <row r="111" spans="1:10" ht="20" x14ac:dyDescent="0.35">
      <c r="A111" s="8" t="s">
        <v>7</v>
      </c>
      <c r="B111" s="9" t="s">
        <v>29</v>
      </c>
      <c r="C111" s="10"/>
      <c r="D111" s="8" t="s">
        <v>10</v>
      </c>
      <c r="E111" s="11">
        <v>46682034</v>
      </c>
      <c r="F111" s="11">
        <v>112459883</v>
      </c>
      <c r="G111" s="11">
        <v>50684450</v>
      </c>
      <c r="H111" s="11">
        <v>4587885</v>
      </c>
      <c r="I111" s="13">
        <f t="shared" si="2"/>
        <v>163144333</v>
      </c>
      <c r="J111" s="13">
        <f t="shared" si="3"/>
        <v>51269919</v>
      </c>
    </row>
    <row r="112" spans="1:10" ht="20" x14ac:dyDescent="0.35">
      <c r="A112" s="4" t="s">
        <v>7</v>
      </c>
      <c r="B112" s="5" t="s">
        <v>29</v>
      </c>
      <c r="C112" s="6"/>
      <c r="D112" s="4" t="s">
        <v>11</v>
      </c>
      <c r="E112" s="7">
        <v>51994900</v>
      </c>
      <c r="F112" s="7">
        <v>125627178</v>
      </c>
      <c r="G112" s="7">
        <v>58007965</v>
      </c>
      <c r="H112" s="7">
        <v>5379127</v>
      </c>
      <c r="I112" s="13">
        <f t="shared" si="2"/>
        <v>183635143</v>
      </c>
      <c r="J112" s="13">
        <f t="shared" si="3"/>
        <v>57374027</v>
      </c>
    </row>
    <row r="113" spans="1:10" ht="20" x14ac:dyDescent="0.35">
      <c r="A113" s="8" t="s">
        <v>7</v>
      </c>
      <c r="B113" s="9" t="s">
        <v>29</v>
      </c>
      <c r="C113" s="10"/>
      <c r="D113" s="8" t="s">
        <v>12</v>
      </c>
      <c r="E113" s="11">
        <v>50544560</v>
      </c>
      <c r="F113" s="11">
        <v>123077783</v>
      </c>
      <c r="G113" s="11">
        <v>58440831</v>
      </c>
      <c r="H113" s="11">
        <v>5686291</v>
      </c>
      <c r="I113" s="13">
        <f t="shared" si="2"/>
        <v>181518614</v>
      </c>
      <c r="J113" s="13">
        <f t="shared" si="3"/>
        <v>56230851</v>
      </c>
    </row>
    <row r="114" spans="1:10" ht="20" x14ac:dyDescent="0.35">
      <c r="A114" s="4" t="s">
        <v>7</v>
      </c>
      <c r="B114" s="5" t="s">
        <v>29</v>
      </c>
      <c r="C114" s="6"/>
      <c r="D114" s="4" t="s">
        <v>13</v>
      </c>
      <c r="E114" s="7">
        <v>54008111</v>
      </c>
      <c r="F114" s="7">
        <v>131931220</v>
      </c>
      <c r="G114" s="7">
        <v>63039687</v>
      </c>
      <c r="H114" s="7">
        <v>6552333</v>
      </c>
      <c r="I114" s="13">
        <f t="shared" si="2"/>
        <v>194970907</v>
      </c>
      <c r="J114" s="13">
        <f t="shared" si="3"/>
        <v>60560444</v>
      </c>
    </row>
    <row r="115" spans="1:10" ht="20" x14ac:dyDescent="0.35">
      <c r="A115" s="8" t="s">
        <v>7</v>
      </c>
      <c r="B115" s="9" t="s">
        <v>29</v>
      </c>
      <c r="C115" s="10"/>
      <c r="D115" s="8" t="s">
        <v>14</v>
      </c>
      <c r="E115" s="11">
        <v>53574055</v>
      </c>
      <c r="F115" s="11">
        <v>130618816</v>
      </c>
      <c r="G115" s="11">
        <v>61542377</v>
      </c>
      <c r="H115" s="11">
        <v>6325019</v>
      </c>
      <c r="I115" s="13">
        <f t="shared" si="2"/>
        <v>192161193</v>
      </c>
      <c r="J115" s="13">
        <f t="shared" si="3"/>
        <v>59899074</v>
      </c>
    </row>
    <row r="116" spans="1:10" ht="20" x14ac:dyDescent="0.35">
      <c r="A116" s="4" t="s">
        <v>7</v>
      </c>
      <c r="B116" s="5" t="s">
        <v>29</v>
      </c>
      <c r="C116" s="6"/>
      <c r="D116" s="4" t="s">
        <v>15</v>
      </c>
      <c r="E116" s="7">
        <v>56026111</v>
      </c>
      <c r="F116" s="7">
        <v>139275068</v>
      </c>
      <c r="G116" s="7">
        <v>65467663</v>
      </c>
      <c r="H116" s="7">
        <v>6732054</v>
      </c>
      <c r="I116" s="13">
        <f t="shared" si="2"/>
        <v>204742731</v>
      </c>
      <c r="J116" s="13">
        <f t="shared" si="3"/>
        <v>62758165</v>
      </c>
    </row>
    <row r="117" spans="1:10" ht="20" x14ac:dyDescent="0.35">
      <c r="A117" s="8" t="s">
        <v>7</v>
      </c>
      <c r="B117" s="9" t="s">
        <v>29</v>
      </c>
      <c r="C117" s="10"/>
      <c r="D117" s="8" t="s">
        <v>16</v>
      </c>
      <c r="E117" s="11">
        <v>57056913</v>
      </c>
      <c r="F117" s="11">
        <v>140323345</v>
      </c>
      <c r="G117" s="11">
        <v>66540065</v>
      </c>
      <c r="H117" s="11">
        <v>6846910</v>
      </c>
      <c r="I117" s="13">
        <f t="shared" si="2"/>
        <v>206863410</v>
      </c>
      <c r="J117" s="13">
        <f t="shared" si="3"/>
        <v>63903823</v>
      </c>
    </row>
    <row r="118" spans="1:10" ht="20" x14ac:dyDescent="0.35">
      <c r="A118" s="4" t="s">
        <v>7</v>
      </c>
      <c r="B118" s="5" t="s">
        <v>29</v>
      </c>
      <c r="C118" s="6"/>
      <c r="D118" s="4" t="s">
        <v>17</v>
      </c>
      <c r="E118" s="7">
        <v>56868625</v>
      </c>
      <c r="F118" s="7">
        <v>137491823</v>
      </c>
      <c r="G118" s="7">
        <v>66344116</v>
      </c>
      <c r="H118" s="7">
        <v>6955098</v>
      </c>
      <c r="I118" s="13">
        <f t="shared" si="2"/>
        <v>203835939</v>
      </c>
      <c r="J118" s="13">
        <f t="shared" si="3"/>
        <v>63823723</v>
      </c>
    </row>
    <row r="119" spans="1:10" ht="20" x14ac:dyDescent="0.35">
      <c r="A119" s="8" t="s">
        <v>7</v>
      </c>
      <c r="B119" s="9" t="s">
        <v>29</v>
      </c>
      <c r="C119" s="10"/>
      <c r="D119" s="8" t="s">
        <v>18</v>
      </c>
      <c r="E119" s="11">
        <v>61683236</v>
      </c>
      <c r="F119" s="11">
        <v>147917913</v>
      </c>
      <c r="G119" s="11">
        <v>72123073</v>
      </c>
      <c r="H119" s="11">
        <v>7834505</v>
      </c>
      <c r="I119" s="13">
        <f t="shared" si="2"/>
        <v>220040986</v>
      </c>
      <c r="J119" s="13">
        <f t="shared" si="3"/>
        <v>69517741</v>
      </c>
    </row>
    <row r="120" spans="1:10" ht="20" x14ac:dyDescent="0.35">
      <c r="A120" s="4" t="s">
        <v>7</v>
      </c>
      <c r="B120" s="5" t="s">
        <v>29</v>
      </c>
      <c r="C120" s="6"/>
      <c r="D120" s="4" t="s">
        <v>19</v>
      </c>
      <c r="E120" s="7">
        <v>61955415</v>
      </c>
      <c r="F120" s="7">
        <v>145669456</v>
      </c>
      <c r="G120" s="7">
        <v>72073571</v>
      </c>
      <c r="H120" s="7">
        <v>7917507</v>
      </c>
      <c r="I120" s="13">
        <f t="shared" si="2"/>
        <v>217743027</v>
      </c>
      <c r="J120" s="13">
        <f t="shared" si="3"/>
        <v>69872922</v>
      </c>
    </row>
    <row r="121" spans="1:10" ht="20" x14ac:dyDescent="0.35">
      <c r="A121" s="8" t="s">
        <v>7</v>
      </c>
      <c r="B121" s="9" t="s">
        <v>29</v>
      </c>
      <c r="C121" s="10"/>
      <c r="D121" s="8" t="s">
        <v>20</v>
      </c>
      <c r="E121" s="11">
        <v>64369327</v>
      </c>
      <c r="F121" s="11">
        <v>148008044</v>
      </c>
      <c r="G121" s="11">
        <v>74512237</v>
      </c>
      <c r="H121" s="11">
        <v>8815139</v>
      </c>
      <c r="I121" s="13">
        <f t="shared" si="2"/>
        <v>222520281</v>
      </c>
      <c r="J121" s="13">
        <f t="shared" si="3"/>
        <v>73184466</v>
      </c>
    </row>
    <row r="122" spans="1:10" ht="20" x14ac:dyDescent="0.35">
      <c r="A122" s="4" t="s">
        <v>7</v>
      </c>
      <c r="B122" s="5" t="s">
        <v>30</v>
      </c>
      <c r="C122" s="6"/>
      <c r="D122" s="4" t="s">
        <v>9</v>
      </c>
      <c r="E122" s="7">
        <v>64649319</v>
      </c>
      <c r="F122" s="7">
        <v>146048807</v>
      </c>
      <c r="G122" s="7">
        <v>73422804</v>
      </c>
      <c r="H122" s="7">
        <v>8748313</v>
      </c>
      <c r="I122" s="13">
        <f t="shared" si="2"/>
        <v>219471611</v>
      </c>
      <c r="J122" s="13">
        <f t="shared" si="3"/>
        <v>73397632</v>
      </c>
    </row>
    <row r="123" spans="1:10" ht="20" x14ac:dyDescent="0.35">
      <c r="A123" s="8" t="s">
        <v>7</v>
      </c>
      <c r="B123" s="9" t="s">
        <v>30</v>
      </c>
      <c r="C123" s="10"/>
      <c r="D123" s="8" t="s">
        <v>10</v>
      </c>
      <c r="E123" s="11">
        <v>61429758</v>
      </c>
      <c r="F123" s="11">
        <v>140083880</v>
      </c>
      <c r="G123" s="11">
        <v>72751614</v>
      </c>
      <c r="H123" s="11">
        <v>8472057</v>
      </c>
      <c r="I123" s="13">
        <f t="shared" si="2"/>
        <v>212835494</v>
      </c>
      <c r="J123" s="13">
        <f t="shared" si="3"/>
        <v>69901815</v>
      </c>
    </row>
    <row r="124" spans="1:10" ht="20" x14ac:dyDescent="0.35">
      <c r="A124" s="4" t="s">
        <v>7</v>
      </c>
      <c r="B124" s="5" t="s">
        <v>30</v>
      </c>
      <c r="C124" s="6"/>
      <c r="D124" s="4" t="s">
        <v>11</v>
      </c>
      <c r="E124" s="7">
        <v>71397791</v>
      </c>
      <c r="F124" s="7">
        <v>162141771</v>
      </c>
      <c r="G124" s="7">
        <v>83826384</v>
      </c>
      <c r="H124" s="7">
        <v>9999687</v>
      </c>
      <c r="I124" s="13">
        <f t="shared" si="2"/>
        <v>245968155</v>
      </c>
      <c r="J124" s="13">
        <f t="shared" si="3"/>
        <v>81397478</v>
      </c>
    </row>
    <row r="125" spans="1:10" ht="20" x14ac:dyDescent="0.35">
      <c r="A125" s="8" t="s">
        <v>7</v>
      </c>
      <c r="B125" s="9" t="s">
        <v>30</v>
      </c>
      <c r="C125" s="10"/>
      <c r="D125" s="8" t="s">
        <v>12</v>
      </c>
      <c r="E125" s="11">
        <v>69417885</v>
      </c>
      <c r="F125" s="11">
        <v>159577106</v>
      </c>
      <c r="G125" s="11">
        <v>82791191</v>
      </c>
      <c r="H125" s="11">
        <v>10249299</v>
      </c>
      <c r="I125" s="13">
        <f t="shared" si="2"/>
        <v>242368297</v>
      </c>
      <c r="J125" s="13">
        <f t="shared" si="3"/>
        <v>79667184</v>
      </c>
    </row>
    <row r="126" spans="1:10" ht="20" x14ac:dyDescent="0.35">
      <c r="A126" s="4" t="s">
        <v>7</v>
      </c>
      <c r="B126" s="5" t="s">
        <v>30</v>
      </c>
      <c r="C126" s="6"/>
      <c r="D126" s="4" t="s">
        <v>13</v>
      </c>
      <c r="E126" s="7">
        <v>71931751</v>
      </c>
      <c r="F126" s="7">
        <v>169264563</v>
      </c>
      <c r="G126" s="7">
        <v>89000833</v>
      </c>
      <c r="H126" s="7">
        <v>10881145</v>
      </c>
      <c r="I126" s="13">
        <f t="shared" si="2"/>
        <v>258265396</v>
      </c>
      <c r="J126" s="13">
        <f t="shared" si="3"/>
        <v>82812896</v>
      </c>
    </row>
    <row r="127" spans="1:10" ht="20" x14ac:dyDescent="0.35">
      <c r="A127" s="8" t="s">
        <v>7</v>
      </c>
      <c r="B127" s="9" t="s">
        <v>30</v>
      </c>
      <c r="C127" s="10"/>
      <c r="D127" s="8" t="s">
        <v>14</v>
      </c>
      <c r="E127" s="11">
        <v>72592365</v>
      </c>
      <c r="F127" s="11">
        <v>167780712</v>
      </c>
      <c r="G127" s="11">
        <v>88587041</v>
      </c>
      <c r="H127" s="11">
        <v>10518177</v>
      </c>
      <c r="I127" s="13">
        <f t="shared" si="2"/>
        <v>256367753</v>
      </c>
      <c r="J127" s="13">
        <f t="shared" si="3"/>
        <v>83110542</v>
      </c>
    </row>
    <row r="128" spans="1:10" ht="20" x14ac:dyDescent="0.35">
      <c r="A128" s="4" t="s">
        <v>7</v>
      </c>
      <c r="B128" s="5" t="s">
        <v>30</v>
      </c>
      <c r="C128" s="6"/>
      <c r="D128" s="4" t="s">
        <v>15</v>
      </c>
      <c r="E128" s="7">
        <v>76557474</v>
      </c>
      <c r="F128" s="7">
        <v>177809418</v>
      </c>
      <c r="G128" s="7">
        <v>97213650</v>
      </c>
      <c r="H128" s="7">
        <v>11365871</v>
      </c>
      <c r="I128" s="13">
        <f t="shared" si="2"/>
        <v>275023068</v>
      </c>
      <c r="J128" s="13">
        <f t="shared" si="3"/>
        <v>87923345</v>
      </c>
    </row>
    <row r="129" spans="1:10" ht="20" x14ac:dyDescent="0.35">
      <c r="A129" s="8" t="s">
        <v>7</v>
      </c>
      <c r="B129" s="9" t="s">
        <v>30</v>
      </c>
      <c r="C129" s="10"/>
      <c r="D129" s="8" t="s">
        <v>16</v>
      </c>
      <c r="E129" s="11">
        <v>79814593</v>
      </c>
      <c r="F129" s="11">
        <v>185076500</v>
      </c>
      <c r="G129" s="11">
        <v>103446627</v>
      </c>
      <c r="H129" s="11">
        <v>12328946</v>
      </c>
      <c r="I129" s="13">
        <f t="shared" si="2"/>
        <v>288523127</v>
      </c>
      <c r="J129" s="13">
        <f t="shared" si="3"/>
        <v>92143539</v>
      </c>
    </row>
    <row r="130" spans="1:10" ht="20" x14ac:dyDescent="0.35">
      <c r="A130" s="4" t="s">
        <v>7</v>
      </c>
      <c r="B130" s="5" t="s">
        <v>30</v>
      </c>
      <c r="C130" s="6"/>
      <c r="D130" s="4" t="s">
        <v>17</v>
      </c>
      <c r="E130" s="7">
        <v>78734127</v>
      </c>
      <c r="F130" s="7">
        <v>182504265</v>
      </c>
      <c r="G130" s="7">
        <v>102188682</v>
      </c>
      <c r="H130" s="7">
        <v>12441220</v>
      </c>
      <c r="I130" s="13">
        <f t="shared" si="2"/>
        <v>284692947</v>
      </c>
      <c r="J130" s="13">
        <f t="shared" si="3"/>
        <v>91175347</v>
      </c>
    </row>
    <row r="131" spans="1:10" ht="20" x14ac:dyDescent="0.35">
      <c r="A131" s="8" t="s">
        <v>7</v>
      </c>
      <c r="B131" s="9" t="s">
        <v>30</v>
      </c>
      <c r="C131" s="10"/>
      <c r="D131" s="8" t="s">
        <v>18</v>
      </c>
      <c r="E131" s="11">
        <v>82692230</v>
      </c>
      <c r="F131" s="11">
        <v>188074786</v>
      </c>
      <c r="G131" s="11">
        <v>108202598</v>
      </c>
      <c r="H131" s="11">
        <v>13761104</v>
      </c>
      <c r="I131" s="13">
        <f t="shared" ref="I131:I194" si="4">SUM(F131,G131)</f>
        <v>296277384</v>
      </c>
      <c r="J131" s="13">
        <f t="shared" ref="J131:J194" si="5">SUM(E131, H131)</f>
        <v>96453334</v>
      </c>
    </row>
    <row r="132" spans="1:10" ht="20" x14ac:dyDescent="0.35">
      <c r="A132" s="4" t="s">
        <v>7</v>
      </c>
      <c r="B132" s="5" t="s">
        <v>30</v>
      </c>
      <c r="C132" s="6"/>
      <c r="D132" s="4" t="s">
        <v>19</v>
      </c>
      <c r="E132" s="7">
        <v>82060807</v>
      </c>
      <c r="F132" s="7">
        <v>185485200</v>
      </c>
      <c r="G132" s="7">
        <v>108307603</v>
      </c>
      <c r="H132" s="7">
        <v>13086434</v>
      </c>
      <c r="I132" s="13">
        <f t="shared" si="4"/>
        <v>293792803</v>
      </c>
      <c r="J132" s="13">
        <f t="shared" si="5"/>
        <v>95147241</v>
      </c>
    </row>
    <row r="133" spans="1:10" ht="20" x14ac:dyDescent="0.35">
      <c r="A133" s="8" t="s">
        <v>7</v>
      </c>
      <c r="B133" s="9" t="s">
        <v>30</v>
      </c>
      <c r="C133" s="10"/>
      <c r="D133" s="8" t="s">
        <v>20</v>
      </c>
      <c r="E133" s="11">
        <v>84803314</v>
      </c>
      <c r="F133" s="11">
        <v>194403769</v>
      </c>
      <c r="G133" s="11">
        <v>118400087</v>
      </c>
      <c r="H133" s="11">
        <v>14435482</v>
      </c>
      <c r="I133" s="13">
        <f t="shared" si="4"/>
        <v>312803856</v>
      </c>
      <c r="J133" s="13">
        <f t="shared" si="5"/>
        <v>99238796</v>
      </c>
    </row>
    <row r="134" spans="1:10" ht="20" x14ac:dyDescent="0.35">
      <c r="A134" s="4" t="s">
        <v>7</v>
      </c>
      <c r="B134" s="5" t="s">
        <v>31</v>
      </c>
      <c r="C134" s="6"/>
      <c r="D134" s="4" t="s">
        <v>9</v>
      </c>
      <c r="E134" s="7">
        <v>84699020</v>
      </c>
      <c r="F134" s="7">
        <v>193621577</v>
      </c>
      <c r="G134" s="7">
        <v>119941278</v>
      </c>
      <c r="H134" s="7">
        <v>14222500</v>
      </c>
      <c r="I134" s="13">
        <f t="shared" si="4"/>
        <v>313562855</v>
      </c>
      <c r="J134" s="13">
        <f t="shared" si="5"/>
        <v>98921520</v>
      </c>
    </row>
    <row r="135" spans="1:10" ht="20" x14ac:dyDescent="0.35">
      <c r="A135" s="8" t="s">
        <v>7</v>
      </c>
      <c r="B135" s="9" t="s">
        <v>31</v>
      </c>
      <c r="C135" s="10"/>
      <c r="D135" s="8" t="s">
        <v>10</v>
      </c>
      <c r="E135" s="11">
        <v>77513912</v>
      </c>
      <c r="F135" s="11">
        <v>180906166</v>
      </c>
      <c r="G135" s="11">
        <v>113536443</v>
      </c>
      <c r="H135" s="11">
        <v>13671640</v>
      </c>
      <c r="I135" s="13">
        <f t="shared" si="4"/>
        <v>294442609</v>
      </c>
      <c r="J135" s="13">
        <f t="shared" si="5"/>
        <v>91185552</v>
      </c>
    </row>
    <row r="136" spans="1:10" ht="20" x14ac:dyDescent="0.35">
      <c r="A136" s="4" t="s">
        <v>7</v>
      </c>
      <c r="B136" s="5" t="s">
        <v>31</v>
      </c>
      <c r="C136" s="6"/>
      <c r="D136" s="4" t="s">
        <v>11</v>
      </c>
      <c r="E136" s="7">
        <v>86456739</v>
      </c>
      <c r="F136" s="7">
        <v>204479015</v>
      </c>
      <c r="G136" s="7">
        <v>122715360</v>
      </c>
      <c r="H136" s="7">
        <v>14771804</v>
      </c>
      <c r="I136" s="13">
        <f t="shared" si="4"/>
        <v>327194375</v>
      </c>
      <c r="J136" s="13">
        <f t="shared" si="5"/>
        <v>101228543</v>
      </c>
    </row>
    <row r="137" spans="1:10" ht="20" x14ac:dyDescent="0.35">
      <c r="A137" s="8" t="s">
        <v>7</v>
      </c>
      <c r="B137" s="9" t="s">
        <v>31</v>
      </c>
      <c r="C137" s="10"/>
      <c r="D137" s="8" t="s">
        <v>12</v>
      </c>
      <c r="E137" s="11">
        <v>85659604</v>
      </c>
      <c r="F137" s="11">
        <v>202265042</v>
      </c>
      <c r="G137" s="11">
        <v>112419223</v>
      </c>
      <c r="H137" s="11">
        <v>14512386</v>
      </c>
      <c r="I137" s="13">
        <f t="shared" si="4"/>
        <v>314684265</v>
      </c>
      <c r="J137" s="13">
        <f t="shared" si="5"/>
        <v>100171990</v>
      </c>
    </row>
    <row r="138" spans="1:10" ht="20" x14ac:dyDescent="0.35">
      <c r="A138" s="4" t="s">
        <v>7</v>
      </c>
      <c r="B138" s="5" t="s">
        <v>31</v>
      </c>
      <c r="C138" s="6"/>
      <c r="D138" s="4" t="s">
        <v>13</v>
      </c>
      <c r="E138" s="7">
        <v>89684360</v>
      </c>
      <c r="F138" s="7">
        <v>215957471</v>
      </c>
      <c r="G138" s="7">
        <v>120510094</v>
      </c>
      <c r="H138" s="7">
        <v>15446797</v>
      </c>
      <c r="I138" s="13">
        <f t="shared" si="4"/>
        <v>336467565</v>
      </c>
      <c r="J138" s="13">
        <f t="shared" si="5"/>
        <v>105131157</v>
      </c>
    </row>
    <row r="139" spans="1:10" ht="20" x14ac:dyDescent="0.35">
      <c r="A139" s="8" t="s">
        <v>7</v>
      </c>
      <c r="B139" s="9" t="s">
        <v>31</v>
      </c>
      <c r="C139" s="10"/>
      <c r="D139" s="8" t="s">
        <v>14</v>
      </c>
      <c r="E139" s="11">
        <v>87550830</v>
      </c>
      <c r="F139" s="11">
        <v>214493525</v>
      </c>
      <c r="G139" s="11">
        <v>118673857</v>
      </c>
      <c r="H139" s="11">
        <v>14974686</v>
      </c>
      <c r="I139" s="13">
        <f t="shared" si="4"/>
        <v>333167382</v>
      </c>
      <c r="J139" s="13">
        <f t="shared" si="5"/>
        <v>102525516</v>
      </c>
    </row>
    <row r="140" spans="1:10" ht="20" x14ac:dyDescent="0.35">
      <c r="A140" s="4" t="s">
        <v>7</v>
      </c>
      <c r="B140" s="5" t="s">
        <v>31</v>
      </c>
      <c r="C140" s="6"/>
      <c r="D140" s="4" t="s">
        <v>15</v>
      </c>
      <c r="E140" s="7">
        <v>91686514</v>
      </c>
      <c r="F140" s="7">
        <v>225119592</v>
      </c>
      <c r="G140" s="7">
        <v>126865804</v>
      </c>
      <c r="H140" s="7">
        <v>16088767</v>
      </c>
      <c r="I140" s="13">
        <f t="shared" si="4"/>
        <v>351985396</v>
      </c>
      <c r="J140" s="13">
        <f t="shared" si="5"/>
        <v>107775281</v>
      </c>
    </row>
    <row r="141" spans="1:10" ht="20" x14ac:dyDescent="0.35">
      <c r="A141" s="8" t="s">
        <v>7</v>
      </c>
      <c r="B141" s="9" t="s">
        <v>31</v>
      </c>
      <c r="C141" s="10"/>
      <c r="D141" s="8" t="s">
        <v>16</v>
      </c>
      <c r="E141" s="11">
        <v>93491147</v>
      </c>
      <c r="F141" s="11">
        <v>233580011</v>
      </c>
      <c r="G141" s="11">
        <v>133953031</v>
      </c>
      <c r="H141" s="11">
        <v>16705636</v>
      </c>
      <c r="I141" s="13">
        <f t="shared" si="4"/>
        <v>367533042</v>
      </c>
      <c r="J141" s="13">
        <f t="shared" si="5"/>
        <v>110196783</v>
      </c>
    </row>
    <row r="142" spans="1:10" ht="20" x14ac:dyDescent="0.35">
      <c r="A142" s="4" t="s">
        <v>7</v>
      </c>
      <c r="B142" s="5" t="s">
        <v>31</v>
      </c>
      <c r="C142" s="6"/>
      <c r="D142" s="4" t="s">
        <v>17</v>
      </c>
      <c r="E142" s="7">
        <v>91756228</v>
      </c>
      <c r="F142" s="7">
        <v>231062413</v>
      </c>
      <c r="G142" s="7">
        <v>134664121</v>
      </c>
      <c r="H142" s="7">
        <v>15959240</v>
      </c>
      <c r="I142" s="13">
        <f t="shared" si="4"/>
        <v>365726534</v>
      </c>
      <c r="J142" s="13">
        <f t="shared" si="5"/>
        <v>107715468</v>
      </c>
    </row>
    <row r="143" spans="1:10" ht="20" x14ac:dyDescent="0.35">
      <c r="A143" s="8" t="s">
        <v>7</v>
      </c>
      <c r="B143" s="9" t="s">
        <v>31</v>
      </c>
      <c r="C143" s="10"/>
      <c r="D143" s="8" t="s">
        <v>18</v>
      </c>
      <c r="E143" s="11">
        <v>96738638</v>
      </c>
      <c r="F143" s="11">
        <v>239874334</v>
      </c>
      <c r="G143" s="11">
        <v>140574448</v>
      </c>
      <c r="H143" s="11">
        <v>16937745</v>
      </c>
      <c r="I143" s="13">
        <f t="shared" si="4"/>
        <v>380448782</v>
      </c>
      <c r="J143" s="13">
        <f t="shared" si="5"/>
        <v>113676383</v>
      </c>
    </row>
    <row r="144" spans="1:10" ht="20" x14ac:dyDescent="0.35">
      <c r="A144" s="4" t="s">
        <v>7</v>
      </c>
      <c r="B144" s="5" t="s">
        <v>31</v>
      </c>
      <c r="C144" s="6"/>
      <c r="D144" s="4" t="s">
        <v>19</v>
      </c>
      <c r="E144" s="7">
        <v>94861581</v>
      </c>
      <c r="F144" s="7">
        <v>235942554</v>
      </c>
      <c r="G144" s="7">
        <v>141906768</v>
      </c>
      <c r="H144" s="7">
        <v>17428316</v>
      </c>
      <c r="I144" s="13">
        <f t="shared" si="4"/>
        <v>377849322</v>
      </c>
      <c r="J144" s="13">
        <f t="shared" si="5"/>
        <v>112289897</v>
      </c>
    </row>
    <row r="145" spans="1:10" ht="20" x14ac:dyDescent="0.35">
      <c r="A145" s="8" t="s">
        <v>7</v>
      </c>
      <c r="B145" s="9" t="s">
        <v>31</v>
      </c>
      <c r="C145" s="10"/>
      <c r="D145" s="8" t="s">
        <v>20</v>
      </c>
      <c r="E145" s="11">
        <v>98648264</v>
      </c>
      <c r="F145" s="11">
        <v>243043066</v>
      </c>
      <c r="G145" s="11">
        <v>149077848</v>
      </c>
      <c r="H145" s="11">
        <v>18370837</v>
      </c>
      <c r="I145" s="13">
        <f t="shared" si="4"/>
        <v>392120914</v>
      </c>
      <c r="J145" s="13">
        <f t="shared" si="5"/>
        <v>117019101</v>
      </c>
    </row>
    <row r="146" spans="1:10" ht="20" x14ac:dyDescent="0.35">
      <c r="A146" s="4" t="s">
        <v>7</v>
      </c>
      <c r="B146" s="5" t="s">
        <v>32</v>
      </c>
      <c r="C146" s="6"/>
      <c r="D146" s="4" t="s">
        <v>9</v>
      </c>
      <c r="E146" s="7">
        <v>99135969</v>
      </c>
      <c r="F146" s="7">
        <v>246136618</v>
      </c>
      <c r="G146" s="7">
        <v>150923379</v>
      </c>
      <c r="H146" s="7">
        <v>18648123</v>
      </c>
      <c r="I146" s="13">
        <f t="shared" si="4"/>
        <v>397059997</v>
      </c>
      <c r="J146" s="13">
        <f t="shared" si="5"/>
        <v>117784092</v>
      </c>
    </row>
    <row r="147" spans="1:10" ht="20" x14ac:dyDescent="0.35">
      <c r="A147" s="8" t="s">
        <v>7</v>
      </c>
      <c r="B147" s="9" t="s">
        <v>32</v>
      </c>
      <c r="C147" s="10"/>
      <c r="D147" s="8" t="s">
        <v>10</v>
      </c>
      <c r="E147" s="11">
        <v>91871071</v>
      </c>
      <c r="F147" s="11">
        <v>227358400</v>
      </c>
      <c r="G147" s="11">
        <v>138859107</v>
      </c>
      <c r="H147" s="11">
        <v>17189493</v>
      </c>
      <c r="I147" s="13">
        <f t="shared" si="4"/>
        <v>366217507</v>
      </c>
      <c r="J147" s="13">
        <f t="shared" si="5"/>
        <v>109060564</v>
      </c>
    </row>
    <row r="148" spans="1:10" ht="20" x14ac:dyDescent="0.35">
      <c r="A148" s="4" t="s">
        <v>7</v>
      </c>
      <c r="B148" s="5" t="s">
        <v>32</v>
      </c>
      <c r="C148" s="6"/>
      <c r="D148" s="4" t="s">
        <v>11</v>
      </c>
      <c r="E148" s="7">
        <v>99305838</v>
      </c>
      <c r="F148" s="7">
        <v>252496628</v>
      </c>
      <c r="G148" s="7">
        <v>145486519</v>
      </c>
      <c r="H148" s="7">
        <v>18997085</v>
      </c>
      <c r="I148" s="13">
        <f t="shared" si="4"/>
        <v>397983147</v>
      </c>
      <c r="J148" s="13">
        <f t="shared" si="5"/>
        <v>118302923</v>
      </c>
    </row>
    <row r="149" spans="1:10" ht="20" x14ac:dyDescent="0.35">
      <c r="A149" s="8" t="s">
        <v>7</v>
      </c>
      <c r="B149" s="9" t="s">
        <v>32</v>
      </c>
      <c r="C149" s="10"/>
      <c r="D149" s="8" t="s">
        <v>12</v>
      </c>
      <c r="E149" s="11">
        <v>91173401</v>
      </c>
      <c r="F149" s="11">
        <v>241145160</v>
      </c>
      <c r="G149" s="11">
        <v>129132459</v>
      </c>
      <c r="H149" s="11">
        <v>17302845</v>
      </c>
      <c r="I149" s="13">
        <f t="shared" si="4"/>
        <v>370277619</v>
      </c>
      <c r="J149" s="13">
        <f t="shared" si="5"/>
        <v>108476246</v>
      </c>
    </row>
    <row r="150" spans="1:10" ht="20" x14ac:dyDescent="0.35">
      <c r="A150" s="4" t="s">
        <v>7</v>
      </c>
      <c r="B150" s="5" t="s">
        <v>32</v>
      </c>
      <c r="C150" s="6"/>
      <c r="D150" s="4" t="s">
        <v>13</v>
      </c>
      <c r="E150" s="7">
        <v>81368002</v>
      </c>
      <c r="F150" s="7">
        <v>224873865</v>
      </c>
      <c r="G150" s="7">
        <v>122358330</v>
      </c>
      <c r="H150" s="7">
        <v>15564131</v>
      </c>
      <c r="I150" s="13">
        <f t="shared" si="4"/>
        <v>347232195</v>
      </c>
      <c r="J150" s="13">
        <f t="shared" si="5"/>
        <v>96932133</v>
      </c>
    </row>
    <row r="151" spans="1:10" ht="20" x14ac:dyDescent="0.35">
      <c r="A151" s="8" t="s">
        <v>7</v>
      </c>
      <c r="B151" s="9" t="s">
        <v>32</v>
      </c>
      <c r="C151" s="10"/>
      <c r="D151" s="8" t="s">
        <v>14</v>
      </c>
      <c r="E151" s="11">
        <v>86125268</v>
      </c>
      <c r="F151" s="11">
        <v>232936132</v>
      </c>
      <c r="G151" s="11">
        <v>132138145</v>
      </c>
      <c r="H151" s="11">
        <v>15708261</v>
      </c>
      <c r="I151" s="13">
        <f t="shared" si="4"/>
        <v>365074277</v>
      </c>
      <c r="J151" s="13">
        <f t="shared" si="5"/>
        <v>101833529</v>
      </c>
    </row>
    <row r="152" spans="1:10" ht="20" x14ac:dyDescent="0.35">
      <c r="A152" s="4" t="s">
        <v>7</v>
      </c>
      <c r="B152" s="5" t="s">
        <v>32</v>
      </c>
      <c r="C152" s="6"/>
      <c r="D152" s="4" t="s">
        <v>15</v>
      </c>
      <c r="E152" s="7">
        <v>89230527</v>
      </c>
      <c r="F152" s="7">
        <v>252022224</v>
      </c>
      <c r="G152" s="7">
        <v>138730566</v>
      </c>
      <c r="H152" s="7">
        <v>16543783</v>
      </c>
      <c r="I152" s="13">
        <f t="shared" si="4"/>
        <v>390752790</v>
      </c>
      <c r="J152" s="13">
        <f t="shared" si="5"/>
        <v>105774310</v>
      </c>
    </row>
    <row r="153" spans="1:10" ht="20" x14ac:dyDescent="0.35">
      <c r="A153" s="8" t="s">
        <v>7</v>
      </c>
      <c r="B153" s="9" t="s">
        <v>32</v>
      </c>
      <c r="C153" s="10"/>
      <c r="D153" s="8" t="s">
        <v>16</v>
      </c>
      <c r="E153" s="11">
        <v>86947710</v>
      </c>
      <c r="F153" s="11">
        <v>254471758</v>
      </c>
      <c r="G153" s="11">
        <v>140750651</v>
      </c>
      <c r="H153" s="11">
        <v>16597449</v>
      </c>
      <c r="I153" s="13">
        <f t="shared" si="4"/>
        <v>395222409</v>
      </c>
      <c r="J153" s="13">
        <f t="shared" si="5"/>
        <v>103545159</v>
      </c>
    </row>
    <row r="154" spans="1:10" ht="20" x14ac:dyDescent="0.35">
      <c r="A154" s="4" t="s">
        <v>7</v>
      </c>
      <c r="B154" s="5" t="s">
        <v>32</v>
      </c>
      <c r="C154" s="6"/>
      <c r="D154" s="4" t="s">
        <v>17</v>
      </c>
      <c r="E154" s="7">
        <v>83853814</v>
      </c>
      <c r="F154" s="7">
        <v>246789766</v>
      </c>
      <c r="G154" s="7">
        <v>134458689</v>
      </c>
      <c r="H154" s="7">
        <v>15680340</v>
      </c>
      <c r="I154" s="13">
        <f t="shared" si="4"/>
        <v>381248455</v>
      </c>
      <c r="J154" s="13">
        <f t="shared" si="5"/>
        <v>99534154</v>
      </c>
    </row>
    <row r="155" spans="1:10" ht="20" x14ac:dyDescent="0.35">
      <c r="A155" s="8" t="s">
        <v>7</v>
      </c>
      <c r="B155" s="9" t="s">
        <v>32</v>
      </c>
      <c r="C155" s="10"/>
      <c r="D155" s="8" t="s">
        <v>18</v>
      </c>
      <c r="E155" s="11">
        <v>86922034</v>
      </c>
      <c r="F155" s="11">
        <v>255806417</v>
      </c>
      <c r="G155" s="11">
        <v>134523419</v>
      </c>
      <c r="H155" s="11">
        <v>15878121</v>
      </c>
      <c r="I155" s="13">
        <f t="shared" si="4"/>
        <v>390329836</v>
      </c>
      <c r="J155" s="13">
        <f t="shared" si="5"/>
        <v>102800155</v>
      </c>
    </row>
    <row r="156" spans="1:10" ht="20" x14ac:dyDescent="0.35">
      <c r="A156" s="4" t="s">
        <v>7</v>
      </c>
      <c r="B156" s="5" t="s">
        <v>32</v>
      </c>
      <c r="C156" s="6"/>
      <c r="D156" s="4" t="s">
        <v>19</v>
      </c>
      <c r="E156" s="7">
        <v>84783519</v>
      </c>
      <c r="F156" s="7">
        <v>248380789</v>
      </c>
      <c r="G156" s="7">
        <v>132988091</v>
      </c>
      <c r="H156" s="7">
        <v>15154836</v>
      </c>
      <c r="I156" s="13">
        <f t="shared" si="4"/>
        <v>381368880</v>
      </c>
      <c r="J156" s="13">
        <f t="shared" si="5"/>
        <v>99938355</v>
      </c>
    </row>
    <row r="157" spans="1:10" ht="20" x14ac:dyDescent="0.35">
      <c r="A157" s="8" t="s">
        <v>7</v>
      </c>
      <c r="B157" s="9" t="s">
        <v>32</v>
      </c>
      <c r="C157" s="10"/>
      <c r="D157" s="8" t="s">
        <v>20</v>
      </c>
      <c r="E157" s="11">
        <v>87612480</v>
      </c>
      <c r="F157" s="11">
        <v>253801133</v>
      </c>
      <c r="G157" s="11">
        <v>135705824</v>
      </c>
      <c r="H157" s="11">
        <v>16057968</v>
      </c>
      <c r="I157" s="13">
        <f t="shared" si="4"/>
        <v>389506957</v>
      </c>
      <c r="J157" s="13">
        <f t="shared" si="5"/>
        <v>103670448</v>
      </c>
    </row>
    <row r="158" spans="1:10" ht="20" x14ac:dyDescent="0.35">
      <c r="A158" s="4" t="s">
        <v>7</v>
      </c>
      <c r="B158" s="5" t="s">
        <v>33</v>
      </c>
      <c r="C158" s="6"/>
      <c r="D158" s="4" t="s">
        <v>9</v>
      </c>
      <c r="E158" s="7">
        <v>87460312</v>
      </c>
      <c r="F158" s="7">
        <v>249657258</v>
      </c>
      <c r="G158" s="7">
        <v>140686035</v>
      </c>
      <c r="H158" s="7">
        <v>17084035</v>
      </c>
      <c r="I158" s="13">
        <f t="shared" si="4"/>
        <v>390343293</v>
      </c>
      <c r="J158" s="13">
        <f t="shared" si="5"/>
        <v>104544347</v>
      </c>
    </row>
    <row r="159" spans="1:10" ht="20" x14ac:dyDescent="0.35">
      <c r="A159" s="8" t="s">
        <v>7</v>
      </c>
      <c r="B159" s="9" t="s">
        <v>33</v>
      </c>
      <c r="C159" s="10"/>
      <c r="D159" s="8" t="s">
        <v>10</v>
      </c>
      <c r="E159" s="11">
        <v>63234676</v>
      </c>
      <c r="F159" s="11">
        <v>173727969</v>
      </c>
      <c r="G159" s="11">
        <v>105452118</v>
      </c>
      <c r="H159" s="11">
        <v>12514757</v>
      </c>
      <c r="I159" s="13">
        <f t="shared" si="4"/>
        <v>279180087</v>
      </c>
      <c r="J159" s="13">
        <f t="shared" si="5"/>
        <v>75749433</v>
      </c>
    </row>
    <row r="160" spans="1:10" ht="20" x14ac:dyDescent="0.35">
      <c r="A160" s="4" t="s">
        <v>7</v>
      </c>
      <c r="B160" s="5" t="s">
        <v>33</v>
      </c>
      <c r="C160" s="6"/>
      <c r="D160" s="4" t="s">
        <v>11</v>
      </c>
      <c r="E160" s="7">
        <v>91712137</v>
      </c>
      <c r="F160" s="7">
        <v>249364612</v>
      </c>
      <c r="G160" s="7">
        <v>137043177</v>
      </c>
      <c r="H160" s="7">
        <v>15786643</v>
      </c>
      <c r="I160" s="13">
        <f t="shared" si="4"/>
        <v>386407789</v>
      </c>
      <c r="J160" s="13">
        <f t="shared" si="5"/>
        <v>107498780</v>
      </c>
    </row>
    <row r="161" spans="1:10" ht="20" x14ac:dyDescent="0.35">
      <c r="A161" s="8" t="s">
        <v>7</v>
      </c>
      <c r="B161" s="9" t="s">
        <v>33</v>
      </c>
      <c r="C161" s="10"/>
      <c r="D161" s="8" t="s">
        <v>12</v>
      </c>
      <c r="E161" s="11">
        <v>88656316</v>
      </c>
      <c r="F161" s="11">
        <v>254028975</v>
      </c>
      <c r="G161" s="11">
        <v>147858181</v>
      </c>
      <c r="H161" s="11">
        <v>15560945</v>
      </c>
      <c r="I161" s="13">
        <f t="shared" si="4"/>
        <v>401887156</v>
      </c>
      <c r="J161" s="13">
        <f t="shared" si="5"/>
        <v>104217261</v>
      </c>
    </row>
    <row r="162" spans="1:10" ht="20" x14ac:dyDescent="0.35">
      <c r="A162" s="4" t="s">
        <v>7</v>
      </c>
      <c r="B162" s="5" t="s">
        <v>33</v>
      </c>
      <c r="C162" s="6"/>
      <c r="D162" s="4" t="s">
        <v>13</v>
      </c>
      <c r="E162" s="7">
        <v>92014032</v>
      </c>
      <c r="F162" s="7">
        <v>265747491</v>
      </c>
      <c r="G162" s="7">
        <v>141795170</v>
      </c>
      <c r="H162" s="7">
        <v>16299711</v>
      </c>
      <c r="I162" s="13">
        <f t="shared" si="4"/>
        <v>407542661</v>
      </c>
      <c r="J162" s="13">
        <f t="shared" si="5"/>
        <v>108313743</v>
      </c>
    </row>
    <row r="163" spans="1:10" ht="20" x14ac:dyDescent="0.35">
      <c r="A163" s="8" t="s">
        <v>7</v>
      </c>
      <c r="B163" s="9" t="s">
        <v>33</v>
      </c>
      <c r="C163" s="10"/>
      <c r="D163" s="8" t="s">
        <v>14</v>
      </c>
      <c r="E163" s="11">
        <v>88411983</v>
      </c>
      <c r="F163" s="11">
        <v>258284771</v>
      </c>
      <c r="G163" s="11">
        <v>137513594</v>
      </c>
      <c r="H163" s="11">
        <v>16203340</v>
      </c>
      <c r="I163" s="13">
        <f t="shared" si="4"/>
        <v>395798365</v>
      </c>
      <c r="J163" s="13">
        <f t="shared" si="5"/>
        <v>104615323</v>
      </c>
    </row>
    <row r="164" spans="1:10" ht="20" x14ac:dyDescent="0.35">
      <c r="A164" s="4" t="s">
        <v>7</v>
      </c>
      <c r="B164" s="5" t="s">
        <v>33</v>
      </c>
      <c r="C164" s="6"/>
      <c r="D164" s="4" t="s">
        <v>15</v>
      </c>
      <c r="E164" s="7">
        <v>92463733</v>
      </c>
      <c r="F164" s="7">
        <v>272346540</v>
      </c>
      <c r="G164" s="7">
        <v>146022242</v>
      </c>
      <c r="H164" s="7">
        <v>16722287</v>
      </c>
      <c r="I164" s="13">
        <f t="shared" si="4"/>
        <v>418368782</v>
      </c>
      <c r="J164" s="13">
        <f t="shared" si="5"/>
        <v>109186020</v>
      </c>
    </row>
    <row r="165" spans="1:10" ht="20" x14ac:dyDescent="0.35">
      <c r="A165" s="8" t="s">
        <v>7</v>
      </c>
      <c r="B165" s="9" t="s">
        <v>33</v>
      </c>
      <c r="C165" s="10"/>
      <c r="D165" s="8" t="s">
        <v>16</v>
      </c>
      <c r="E165" s="11">
        <v>94260980</v>
      </c>
      <c r="F165" s="11">
        <v>276520129</v>
      </c>
      <c r="G165" s="11">
        <v>145793207</v>
      </c>
      <c r="H165" s="11">
        <v>16561619</v>
      </c>
      <c r="I165" s="13">
        <f t="shared" si="4"/>
        <v>422313336</v>
      </c>
      <c r="J165" s="13">
        <f t="shared" si="5"/>
        <v>110822599</v>
      </c>
    </row>
    <row r="166" spans="1:10" ht="20" x14ac:dyDescent="0.35">
      <c r="A166" s="4" t="s">
        <v>7</v>
      </c>
      <c r="B166" s="5" t="s">
        <v>33</v>
      </c>
      <c r="C166" s="6"/>
      <c r="D166" s="4" t="s">
        <v>17</v>
      </c>
      <c r="E166" s="7">
        <v>93083066</v>
      </c>
      <c r="F166" s="7">
        <v>272017799</v>
      </c>
      <c r="G166" s="7">
        <v>142998569</v>
      </c>
      <c r="H166" s="7">
        <v>16601210</v>
      </c>
      <c r="I166" s="13">
        <f t="shared" si="4"/>
        <v>415016368</v>
      </c>
      <c r="J166" s="13">
        <f t="shared" si="5"/>
        <v>109684276</v>
      </c>
    </row>
    <row r="167" spans="1:10" ht="20" x14ac:dyDescent="0.35">
      <c r="A167" s="8" t="s">
        <v>7</v>
      </c>
      <c r="B167" s="9" t="s">
        <v>33</v>
      </c>
      <c r="C167" s="10"/>
      <c r="D167" s="8" t="s">
        <v>18</v>
      </c>
      <c r="E167" s="11">
        <v>97466279</v>
      </c>
      <c r="F167" s="11">
        <v>284072766</v>
      </c>
      <c r="G167" s="11">
        <v>149379273</v>
      </c>
      <c r="H167" s="11">
        <v>17279340</v>
      </c>
      <c r="I167" s="13">
        <f t="shared" si="4"/>
        <v>433452039</v>
      </c>
      <c r="J167" s="13">
        <f t="shared" si="5"/>
        <v>114745619</v>
      </c>
    </row>
    <row r="168" spans="1:10" ht="20" x14ac:dyDescent="0.35">
      <c r="A168" s="4" t="s">
        <v>7</v>
      </c>
      <c r="B168" s="5" t="s">
        <v>33</v>
      </c>
      <c r="C168" s="6"/>
      <c r="D168" s="4" t="s">
        <v>19</v>
      </c>
      <c r="E168" s="7">
        <v>94766397</v>
      </c>
      <c r="F168" s="7">
        <v>276717987</v>
      </c>
      <c r="G168" s="7">
        <v>143026657</v>
      </c>
      <c r="H168" s="7">
        <v>16740408</v>
      </c>
      <c r="I168" s="13">
        <f t="shared" si="4"/>
        <v>419744644</v>
      </c>
      <c r="J168" s="13">
        <f t="shared" si="5"/>
        <v>111506805</v>
      </c>
    </row>
    <row r="169" spans="1:10" ht="20" x14ac:dyDescent="0.35">
      <c r="A169" s="8" t="s">
        <v>7</v>
      </c>
      <c r="B169" s="9" t="s">
        <v>33</v>
      </c>
      <c r="C169" s="10"/>
      <c r="D169" s="8" t="s">
        <v>20</v>
      </c>
      <c r="E169" s="11">
        <v>98133954</v>
      </c>
      <c r="F169" s="11">
        <v>290583597</v>
      </c>
      <c r="G169" s="11">
        <v>152173827</v>
      </c>
      <c r="H169" s="11">
        <v>17698620</v>
      </c>
      <c r="I169" s="13">
        <f t="shared" si="4"/>
        <v>442757424</v>
      </c>
      <c r="J169" s="13">
        <f t="shared" si="5"/>
        <v>115832574</v>
      </c>
    </row>
    <row r="170" spans="1:10" ht="20" x14ac:dyDescent="0.35">
      <c r="A170" s="4" t="s">
        <v>7</v>
      </c>
      <c r="B170" s="5" t="s">
        <v>34</v>
      </c>
      <c r="C170" s="6"/>
      <c r="D170" s="4" t="s">
        <v>9</v>
      </c>
      <c r="E170" s="7">
        <v>95429002</v>
      </c>
      <c r="F170" s="7">
        <v>280144284</v>
      </c>
      <c r="G170" s="7">
        <v>148305661</v>
      </c>
      <c r="H170" s="7">
        <v>17009944</v>
      </c>
      <c r="I170" s="13">
        <f t="shared" si="4"/>
        <v>428449945</v>
      </c>
      <c r="J170" s="13">
        <f t="shared" si="5"/>
        <v>112438946</v>
      </c>
    </row>
    <row r="171" spans="1:10" ht="20" x14ac:dyDescent="0.35">
      <c r="A171" s="8" t="s">
        <v>7</v>
      </c>
      <c r="B171" s="9" t="s">
        <v>34</v>
      </c>
      <c r="C171" s="10"/>
      <c r="D171" s="8" t="s">
        <v>10</v>
      </c>
      <c r="E171" s="11">
        <v>86036478</v>
      </c>
      <c r="F171" s="11">
        <v>250963468</v>
      </c>
      <c r="G171" s="11">
        <v>134587761</v>
      </c>
      <c r="H171" s="11">
        <v>15661150</v>
      </c>
      <c r="I171" s="13">
        <f t="shared" si="4"/>
        <v>385551229</v>
      </c>
      <c r="J171" s="13">
        <f t="shared" si="5"/>
        <v>101697628</v>
      </c>
    </row>
    <row r="172" spans="1:10" ht="20" x14ac:dyDescent="0.35">
      <c r="A172" s="4" t="s">
        <v>7</v>
      </c>
      <c r="B172" s="5" t="s">
        <v>34</v>
      </c>
      <c r="C172" s="6"/>
      <c r="D172" s="4" t="s">
        <v>11</v>
      </c>
      <c r="E172" s="7">
        <v>98606175</v>
      </c>
      <c r="F172" s="7">
        <v>288742210</v>
      </c>
      <c r="G172" s="7">
        <v>155891564</v>
      </c>
      <c r="H172" s="7">
        <v>18179790</v>
      </c>
      <c r="I172" s="13">
        <f t="shared" si="4"/>
        <v>444633774</v>
      </c>
      <c r="J172" s="13">
        <f t="shared" si="5"/>
        <v>116785965</v>
      </c>
    </row>
    <row r="173" spans="1:10" ht="20" x14ac:dyDescent="0.35">
      <c r="A173" s="8" t="s">
        <v>7</v>
      </c>
      <c r="B173" s="9" t="s">
        <v>34</v>
      </c>
      <c r="C173" s="10"/>
      <c r="D173" s="8" t="s">
        <v>12</v>
      </c>
      <c r="E173" s="11">
        <v>95687438</v>
      </c>
      <c r="F173" s="11">
        <v>287365369</v>
      </c>
      <c r="G173" s="11">
        <v>152977138</v>
      </c>
      <c r="H173" s="11">
        <v>17840280</v>
      </c>
      <c r="I173" s="13">
        <f t="shared" si="4"/>
        <v>440342507</v>
      </c>
      <c r="J173" s="13">
        <f t="shared" si="5"/>
        <v>113527718</v>
      </c>
    </row>
    <row r="174" spans="1:10" ht="20" x14ac:dyDescent="0.35">
      <c r="A174" s="4" t="s">
        <v>7</v>
      </c>
      <c r="B174" s="5" t="s">
        <v>34</v>
      </c>
      <c r="C174" s="6"/>
      <c r="D174" s="4" t="s">
        <v>13</v>
      </c>
      <c r="E174" s="7">
        <v>97783791</v>
      </c>
      <c r="F174" s="7">
        <v>297947825</v>
      </c>
      <c r="G174" s="7">
        <v>156595742</v>
      </c>
      <c r="H174" s="7">
        <v>18113628</v>
      </c>
      <c r="I174" s="13">
        <f t="shared" si="4"/>
        <v>454543567</v>
      </c>
      <c r="J174" s="13">
        <f t="shared" si="5"/>
        <v>115897419</v>
      </c>
    </row>
    <row r="175" spans="1:10" ht="20" x14ac:dyDescent="0.35">
      <c r="A175" s="8" t="s">
        <v>7</v>
      </c>
      <c r="B175" s="9" t="s">
        <v>34</v>
      </c>
      <c r="C175" s="10"/>
      <c r="D175" s="8" t="s">
        <v>14</v>
      </c>
      <c r="E175" s="11">
        <v>94979989</v>
      </c>
      <c r="F175" s="11">
        <v>287245740</v>
      </c>
      <c r="G175" s="11">
        <v>148579999</v>
      </c>
      <c r="H175" s="11">
        <v>17096599</v>
      </c>
      <c r="I175" s="13">
        <f t="shared" si="4"/>
        <v>435825739</v>
      </c>
      <c r="J175" s="13">
        <f t="shared" si="5"/>
        <v>112076588</v>
      </c>
    </row>
    <row r="176" spans="1:10" ht="20" x14ac:dyDescent="0.35">
      <c r="A176" s="4" t="s">
        <v>7</v>
      </c>
      <c r="B176" s="5" t="s">
        <v>34</v>
      </c>
      <c r="C176" s="6"/>
      <c r="D176" s="4" t="s">
        <v>15</v>
      </c>
      <c r="E176" s="7">
        <v>99991781</v>
      </c>
      <c r="F176" s="7">
        <v>303386124</v>
      </c>
      <c r="G176" s="7">
        <v>154661394</v>
      </c>
      <c r="H176" s="7">
        <v>17525437</v>
      </c>
      <c r="I176" s="13">
        <f t="shared" si="4"/>
        <v>458047518</v>
      </c>
      <c r="J176" s="13">
        <f t="shared" si="5"/>
        <v>117517218</v>
      </c>
    </row>
    <row r="177" spans="1:10" ht="20" x14ac:dyDescent="0.35">
      <c r="A177" s="8" t="s">
        <v>7</v>
      </c>
      <c r="B177" s="9" t="s">
        <v>34</v>
      </c>
      <c r="C177" s="10"/>
      <c r="D177" s="8" t="s">
        <v>16</v>
      </c>
      <c r="E177" s="11">
        <v>101660728</v>
      </c>
      <c r="F177" s="11">
        <v>306330429</v>
      </c>
      <c r="G177" s="11">
        <v>156895284</v>
      </c>
      <c r="H177" s="11">
        <v>17956818</v>
      </c>
      <c r="I177" s="13">
        <f t="shared" si="4"/>
        <v>463225713</v>
      </c>
      <c r="J177" s="13">
        <f t="shared" si="5"/>
        <v>119617546</v>
      </c>
    </row>
    <row r="178" spans="1:10" ht="20" x14ac:dyDescent="0.35">
      <c r="A178" s="4" t="s">
        <v>7</v>
      </c>
      <c r="B178" s="5" t="s">
        <v>34</v>
      </c>
      <c r="C178" s="6"/>
      <c r="D178" s="4" t="s">
        <v>17</v>
      </c>
      <c r="E178" s="7">
        <v>100741051</v>
      </c>
      <c r="F178" s="7">
        <v>304147926</v>
      </c>
      <c r="G178" s="7">
        <v>152446398</v>
      </c>
      <c r="H178" s="7">
        <v>17313123</v>
      </c>
      <c r="I178" s="13">
        <f t="shared" si="4"/>
        <v>456594324</v>
      </c>
      <c r="J178" s="13">
        <f t="shared" si="5"/>
        <v>118054174</v>
      </c>
    </row>
    <row r="179" spans="1:10" ht="20" x14ac:dyDescent="0.35">
      <c r="A179" s="8" t="s">
        <v>7</v>
      </c>
      <c r="B179" s="9" t="s">
        <v>34</v>
      </c>
      <c r="C179" s="10"/>
      <c r="D179" s="8" t="s">
        <v>18</v>
      </c>
      <c r="E179" s="11">
        <v>105222231</v>
      </c>
      <c r="F179" s="11">
        <v>316044798</v>
      </c>
      <c r="G179" s="11">
        <v>157026161</v>
      </c>
      <c r="H179" s="11">
        <v>17542780</v>
      </c>
      <c r="I179" s="13">
        <f t="shared" si="4"/>
        <v>473070959</v>
      </c>
      <c r="J179" s="13">
        <f t="shared" si="5"/>
        <v>122765011</v>
      </c>
    </row>
    <row r="180" spans="1:10" ht="20" x14ac:dyDescent="0.35">
      <c r="A180" s="4" t="s">
        <v>7</v>
      </c>
      <c r="B180" s="5" t="s">
        <v>34</v>
      </c>
      <c r="C180" s="6"/>
      <c r="D180" s="4" t="s">
        <v>19</v>
      </c>
      <c r="E180" s="7">
        <v>103202602</v>
      </c>
      <c r="F180" s="7">
        <v>307312434</v>
      </c>
      <c r="G180" s="7">
        <v>148525534</v>
      </c>
      <c r="H180" s="7">
        <v>16790493</v>
      </c>
      <c r="I180" s="13">
        <f t="shared" si="4"/>
        <v>455837968</v>
      </c>
      <c r="J180" s="13">
        <f t="shared" si="5"/>
        <v>119993095</v>
      </c>
    </row>
    <row r="181" spans="1:10" ht="20" x14ac:dyDescent="0.35">
      <c r="A181" s="8" t="s">
        <v>7</v>
      </c>
      <c r="B181" s="9" t="s">
        <v>34</v>
      </c>
      <c r="C181" s="10"/>
      <c r="D181" s="8" t="s">
        <v>20</v>
      </c>
      <c r="E181" s="11">
        <v>104889168</v>
      </c>
      <c r="F181" s="11">
        <v>311668458</v>
      </c>
      <c r="G181" s="11">
        <v>148307254</v>
      </c>
      <c r="H181" s="11">
        <v>16967563</v>
      </c>
      <c r="I181" s="13">
        <f t="shared" si="4"/>
        <v>459975712</v>
      </c>
      <c r="J181" s="13">
        <f t="shared" si="5"/>
        <v>121856731</v>
      </c>
    </row>
    <row r="182" spans="1:10" ht="20" x14ac:dyDescent="0.35">
      <c r="A182" s="4" t="s">
        <v>7</v>
      </c>
      <c r="B182" s="5" t="s">
        <v>35</v>
      </c>
      <c r="C182" s="6"/>
      <c r="D182" s="4" t="s">
        <v>9</v>
      </c>
      <c r="E182" s="7">
        <v>106223486</v>
      </c>
      <c r="F182" s="7">
        <v>317630790</v>
      </c>
      <c r="G182" s="7">
        <v>151884467</v>
      </c>
      <c r="H182" s="7">
        <v>17601826</v>
      </c>
      <c r="I182" s="13">
        <f t="shared" si="4"/>
        <v>469515257</v>
      </c>
      <c r="J182" s="13">
        <f t="shared" si="5"/>
        <v>123825312</v>
      </c>
    </row>
    <row r="183" spans="1:10" ht="20" x14ac:dyDescent="0.35">
      <c r="A183" s="8" t="s">
        <v>7</v>
      </c>
      <c r="B183" s="9" t="s">
        <v>35</v>
      </c>
      <c r="C183" s="10"/>
      <c r="D183" s="8" t="s">
        <v>10</v>
      </c>
      <c r="E183" s="11">
        <v>94657312</v>
      </c>
      <c r="F183" s="11">
        <v>283706018</v>
      </c>
      <c r="G183" s="11">
        <v>138090215</v>
      </c>
      <c r="H183" s="11">
        <v>16032433</v>
      </c>
      <c r="I183" s="13">
        <f t="shared" si="4"/>
        <v>421796233</v>
      </c>
      <c r="J183" s="13">
        <f t="shared" si="5"/>
        <v>110689745</v>
      </c>
    </row>
    <row r="184" spans="1:10" ht="20" x14ac:dyDescent="0.35">
      <c r="A184" s="4" t="s">
        <v>7</v>
      </c>
      <c r="B184" s="5" t="s">
        <v>35</v>
      </c>
      <c r="C184" s="6"/>
      <c r="D184" s="4" t="s">
        <v>11</v>
      </c>
      <c r="E184" s="7">
        <v>107950840</v>
      </c>
      <c r="F184" s="7">
        <v>331208718</v>
      </c>
      <c r="G184" s="7">
        <v>157982469</v>
      </c>
      <c r="H184" s="7">
        <v>18365390</v>
      </c>
      <c r="I184" s="13">
        <f t="shared" si="4"/>
        <v>489191187</v>
      </c>
      <c r="J184" s="13">
        <f t="shared" si="5"/>
        <v>126316230</v>
      </c>
    </row>
    <row r="185" spans="1:10" ht="20" x14ac:dyDescent="0.35">
      <c r="A185" s="8" t="s">
        <v>7</v>
      </c>
      <c r="B185" s="9" t="s">
        <v>35</v>
      </c>
      <c r="C185" s="10"/>
      <c r="D185" s="8" t="s">
        <v>12</v>
      </c>
      <c r="E185" s="11">
        <v>104259198</v>
      </c>
      <c r="F185" s="11">
        <v>325306568</v>
      </c>
      <c r="G185" s="11">
        <v>153914085</v>
      </c>
      <c r="H185" s="11">
        <v>17434204</v>
      </c>
      <c r="I185" s="13">
        <f t="shared" si="4"/>
        <v>479220653</v>
      </c>
      <c r="J185" s="13">
        <f t="shared" si="5"/>
        <v>121693402</v>
      </c>
    </row>
    <row r="186" spans="1:10" ht="20" x14ac:dyDescent="0.35">
      <c r="A186" s="4" t="s">
        <v>7</v>
      </c>
      <c r="B186" s="5" t="s">
        <v>35</v>
      </c>
      <c r="C186" s="6"/>
      <c r="D186" s="4" t="s">
        <v>13</v>
      </c>
      <c r="E186" s="7">
        <v>107558785</v>
      </c>
      <c r="F186" s="7">
        <v>336562930</v>
      </c>
      <c r="G186" s="7">
        <v>160199697</v>
      </c>
      <c r="H186" s="7">
        <v>18529589</v>
      </c>
      <c r="I186" s="13">
        <f t="shared" si="4"/>
        <v>496762627</v>
      </c>
      <c r="J186" s="13">
        <f t="shared" si="5"/>
        <v>126088374</v>
      </c>
    </row>
    <row r="187" spans="1:10" ht="20" x14ac:dyDescent="0.35">
      <c r="A187" s="8" t="s">
        <v>7</v>
      </c>
      <c r="B187" s="9" t="s">
        <v>35</v>
      </c>
      <c r="C187" s="10"/>
      <c r="D187" s="8" t="s">
        <v>14</v>
      </c>
      <c r="E187" s="11">
        <v>104319221</v>
      </c>
      <c r="F187" s="11">
        <v>327741365</v>
      </c>
      <c r="G187" s="11">
        <v>151574674</v>
      </c>
      <c r="H187" s="11">
        <v>17173001</v>
      </c>
      <c r="I187" s="13">
        <f t="shared" si="4"/>
        <v>479316039</v>
      </c>
      <c r="J187" s="13">
        <f t="shared" si="5"/>
        <v>121492222</v>
      </c>
    </row>
    <row r="188" spans="1:10" ht="20" x14ac:dyDescent="0.35">
      <c r="A188" s="4" t="s">
        <v>7</v>
      </c>
      <c r="B188" s="5" t="s">
        <v>35</v>
      </c>
      <c r="C188" s="6"/>
      <c r="D188" s="4" t="s">
        <v>15</v>
      </c>
      <c r="E188" s="7">
        <v>110293152</v>
      </c>
      <c r="F188" s="7">
        <v>342680406</v>
      </c>
      <c r="G188" s="7">
        <v>155625410</v>
      </c>
      <c r="H188" s="7">
        <v>17678846</v>
      </c>
      <c r="I188" s="13">
        <f t="shared" si="4"/>
        <v>498305816</v>
      </c>
      <c r="J188" s="13">
        <f t="shared" si="5"/>
        <v>127971998</v>
      </c>
    </row>
    <row r="189" spans="1:10" ht="20" x14ac:dyDescent="0.35">
      <c r="A189" s="8" t="s">
        <v>7</v>
      </c>
      <c r="B189" s="9" t="s">
        <v>35</v>
      </c>
      <c r="C189" s="10"/>
      <c r="D189" s="8" t="s">
        <v>16</v>
      </c>
      <c r="E189" s="11">
        <v>110599771</v>
      </c>
      <c r="F189" s="11">
        <v>346278420</v>
      </c>
      <c r="G189" s="11">
        <v>163866405</v>
      </c>
      <c r="H189" s="11">
        <v>18752316</v>
      </c>
      <c r="I189" s="13">
        <f t="shared" si="4"/>
        <v>510144825</v>
      </c>
      <c r="J189" s="13">
        <f t="shared" si="5"/>
        <v>129352087</v>
      </c>
    </row>
    <row r="190" spans="1:10" ht="20" x14ac:dyDescent="0.35">
      <c r="A190" s="4" t="s">
        <v>7</v>
      </c>
      <c r="B190" s="5" t="s">
        <v>35</v>
      </c>
      <c r="C190" s="6"/>
      <c r="D190" s="4" t="s">
        <v>17</v>
      </c>
      <c r="E190" s="7">
        <v>106438275</v>
      </c>
      <c r="F190" s="7">
        <v>336683734</v>
      </c>
      <c r="G190" s="7">
        <v>160635114</v>
      </c>
      <c r="H190" s="7">
        <v>18109461</v>
      </c>
      <c r="I190" s="13">
        <f t="shared" si="4"/>
        <v>497318848</v>
      </c>
      <c r="J190" s="13">
        <f t="shared" si="5"/>
        <v>124547736</v>
      </c>
    </row>
    <row r="191" spans="1:10" ht="20" x14ac:dyDescent="0.35">
      <c r="A191" s="8" t="s">
        <v>7</v>
      </c>
      <c r="B191" s="9" t="s">
        <v>35</v>
      </c>
      <c r="C191" s="10"/>
      <c r="D191" s="8" t="s">
        <v>18</v>
      </c>
      <c r="E191" s="11">
        <v>112240781</v>
      </c>
      <c r="F191" s="11">
        <v>353060034</v>
      </c>
      <c r="G191" s="11">
        <v>162866369</v>
      </c>
      <c r="H191" s="11">
        <v>18491580</v>
      </c>
      <c r="I191" s="13">
        <f t="shared" si="4"/>
        <v>515926403</v>
      </c>
      <c r="J191" s="13">
        <f t="shared" si="5"/>
        <v>130732361</v>
      </c>
    </row>
    <row r="192" spans="1:10" ht="20" x14ac:dyDescent="0.35">
      <c r="A192" s="4" t="s">
        <v>7</v>
      </c>
      <c r="B192" s="5" t="s">
        <v>35</v>
      </c>
      <c r="C192" s="6"/>
      <c r="D192" s="4" t="s">
        <v>19</v>
      </c>
      <c r="E192" s="7">
        <v>110886128</v>
      </c>
      <c r="F192" s="7">
        <v>347819981</v>
      </c>
      <c r="G192" s="7">
        <v>157844830</v>
      </c>
      <c r="H192" s="7">
        <v>18366751</v>
      </c>
      <c r="I192" s="13">
        <f t="shared" si="4"/>
        <v>505664811</v>
      </c>
      <c r="J192" s="13">
        <f t="shared" si="5"/>
        <v>129252879</v>
      </c>
    </row>
    <row r="193" spans="1:10" ht="20" x14ac:dyDescent="0.35">
      <c r="A193" s="8" t="s">
        <v>7</v>
      </c>
      <c r="B193" s="9" t="s">
        <v>35</v>
      </c>
      <c r="C193" s="10"/>
      <c r="D193" s="8" t="s">
        <v>20</v>
      </c>
      <c r="E193" s="11">
        <v>114033865</v>
      </c>
      <c r="F193" s="11">
        <v>363196059</v>
      </c>
      <c r="G193" s="11">
        <v>166237156</v>
      </c>
      <c r="H193" s="11">
        <v>19169573</v>
      </c>
      <c r="I193" s="13">
        <f t="shared" si="4"/>
        <v>529433215</v>
      </c>
      <c r="J193" s="13">
        <f t="shared" si="5"/>
        <v>133203438</v>
      </c>
    </row>
    <row r="194" spans="1:10" ht="20" x14ac:dyDescent="0.35">
      <c r="A194" s="4" t="s">
        <v>7</v>
      </c>
      <c r="B194" s="5" t="s">
        <v>36</v>
      </c>
      <c r="C194" s="6"/>
      <c r="D194" s="4" t="s">
        <v>9</v>
      </c>
      <c r="E194" s="7">
        <v>108596869</v>
      </c>
      <c r="F194" s="7">
        <v>346647264</v>
      </c>
      <c r="G194" s="7">
        <v>162784275</v>
      </c>
      <c r="H194" s="7">
        <v>18423872</v>
      </c>
      <c r="I194" s="13">
        <f t="shared" si="4"/>
        <v>509431539</v>
      </c>
      <c r="J194" s="13">
        <f t="shared" si="5"/>
        <v>127020741</v>
      </c>
    </row>
    <row r="195" spans="1:10" ht="20" x14ac:dyDescent="0.35">
      <c r="A195" s="8" t="s">
        <v>7</v>
      </c>
      <c r="B195" s="9" t="s">
        <v>36</v>
      </c>
      <c r="C195" s="10"/>
      <c r="D195" s="8" t="s">
        <v>10</v>
      </c>
      <c r="E195" s="11">
        <v>105174529</v>
      </c>
      <c r="F195" s="11">
        <v>338456066</v>
      </c>
      <c r="G195" s="11">
        <v>150442755</v>
      </c>
      <c r="H195" s="11">
        <v>17540549</v>
      </c>
      <c r="I195" s="13">
        <f t="shared" ref="I195:I218" si="6">SUM(F195,G195)</f>
        <v>488898821</v>
      </c>
      <c r="J195" s="13">
        <f t="shared" ref="J195:J218" si="7">SUM(E195, H195)</f>
        <v>122715078</v>
      </c>
    </row>
    <row r="196" spans="1:10" ht="20" x14ac:dyDescent="0.35">
      <c r="A196" s="4" t="s">
        <v>7</v>
      </c>
      <c r="B196" s="5" t="s">
        <v>36</v>
      </c>
      <c r="C196" s="6"/>
      <c r="D196" s="4" t="s">
        <v>11</v>
      </c>
      <c r="E196" s="7">
        <v>113044674</v>
      </c>
      <c r="F196" s="7">
        <v>370969725</v>
      </c>
      <c r="G196" s="7">
        <v>161235755</v>
      </c>
      <c r="H196" s="7">
        <v>18654595</v>
      </c>
      <c r="I196" s="13">
        <f t="shared" si="6"/>
        <v>532205480</v>
      </c>
      <c r="J196" s="13">
        <f t="shared" si="7"/>
        <v>131699269</v>
      </c>
    </row>
    <row r="197" spans="1:10" ht="20" x14ac:dyDescent="0.35">
      <c r="A197" s="8" t="s">
        <v>7</v>
      </c>
      <c r="B197" s="9" t="s">
        <v>36</v>
      </c>
      <c r="C197" s="10"/>
      <c r="D197" s="8" t="s">
        <v>12</v>
      </c>
      <c r="E197" s="11">
        <v>109848942</v>
      </c>
      <c r="F197" s="11">
        <v>362127063</v>
      </c>
      <c r="G197" s="11">
        <v>155860022</v>
      </c>
      <c r="H197" s="11">
        <v>18073636</v>
      </c>
      <c r="I197" s="13">
        <f t="shared" si="6"/>
        <v>517987085</v>
      </c>
      <c r="J197" s="13">
        <f t="shared" si="7"/>
        <v>127922578</v>
      </c>
    </row>
    <row r="198" spans="1:10" ht="20" x14ac:dyDescent="0.35">
      <c r="A198" s="4" t="s">
        <v>7</v>
      </c>
      <c r="B198" s="5" t="s">
        <v>36</v>
      </c>
      <c r="C198" s="6"/>
      <c r="D198" s="4" t="s">
        <v>13</v>
      </c>
      <c r="E198" s="7">
        <v>114320736</v>
      </c>
      <c r="F198" s="7">
        <v>371414886</v>
      </c>
      <c r="G198" s="7">
        <v>160289074</v>
      </c>
      <c r="H198" s="7">
        <v>18388917</v>
      </c>
      <c r="I198" s="13">
        <f t="shared" si="6"/>
        <v>531703960</v>
      </c>
      <c r="J198" s="13">
        <f t="shared" si="7"/>
        <v>132709653</v>
      </c>
    </row>
    <row r="199" spans="1:10" ht="20" x14ac:dyDescent="0.35">
      <c r="A199" s="8" t="s">
        <v>7</v>
      </c>
      <c r="B199" s="9" t="s">
        <v>36</v>
      </c>
      <c r="C199" s="10"/>
      <c r="D199" s="8" t="s">
        <v>14</v>
      </c>
      <c r="E199" s="11">
        <v>111291204</v>
      </c>
      <c r="F199" s="11">
        <v>372281358</v>
      </c>
      <c r="G199" s="11">
        <v>159933505</v>
      </c>
      <c r="H199" s="11">
        <v>18610403</v>
      </c>
      <c r="I199" s="13">
        <f t="shared" si="6"/>
        <v>532214863</v>
      </c>
      <c r="J199" s="13">
        <f t="shared" si="7"/>
        <v>129901607</v>
      </c>
    </row>
    <row r="200" spans="1:10" ht="20" x14ac:dyDescent="0.35">
      <c r="A200" s="4" t="s">
        <v>7</v>
      </c>
      <c r="B200" s="5" t="s">
        <v>36</v>
      </c>
      <c r="C200" s="6"/>
      <c r="D200" s="4" t="s">
        <v>15</v>
      </c>
      <c r="E200" s="7">
        <v>114206416</v>
      </c>
      <c r="F200" s="7">
        <v>388810941</v>
      </c>
      <c r="G200" s="7">
        <v>166040506</v>
      </c>
      <c r="H200" s="7">
        <v>19459789</v>
      </c>
      <c r="I200" s="13">
        <f t="shared" si="6"/>
        <v>554851447</v>
      </c>
      <c r="J200" s="13">
        <f t="shared" si="7"/>
        <v>133666205</v>
      </c>
    </row>
    <row r="201" spans="1:10" ht="20" x14ac:dyDescent="0.35">
      <c r="A201" s="8" t="s">
        <v>7</v>
      </c>
      <c r="B201" s="9" t="s">
        <v>36</v>
      </c>
      <c r="C201" s="10"/>
      <c r="D201" s="8" t="s">
        <v>16</v>
      </c>
      <c r="E201" s="11">
        <v>115302906</v>
      </c>
      <c r="F201" s="11">
        <v>395718716</v>
      </c>
      <c r="G201" s="11">
        <v>170806720</v>
      </c>
      <c r="H201" s="11">
        <v>19810926</v>
      </c>
      <c r="I201" s="13">
        <f t="shared" si="6"/>
        <v>566525436</v>
      </c>
      <c r="J201" s="13">
        <f t="shared" si="7"/>
        <v>135113832</v>
      </c>
    </row>
    <row r="202" spans="1:10" ht="20" x14ac:dyDescent="0.35">
      <c r="A202" s="4" t="s">
        <v>7</v>
      </c>
      <c r="B202" s="5" t="s">
        <v>36</v>
      </c>
      <c r="C202" s="6"/>
      <c r="D202" s="4" t="s">
        <v>17</v>
      </c>
      <c r="E202" s="7">
        <v>111921522</v>
      </c>
      <c r="F202" s="7">
        <v>385049984</v>
      </c>
      <c r="G202" s="7">
        <v>163720674</v>
      </c>
      <c r="H202" s="7">
        <v>19010846</v>
      </c>
      <c r="I202" s="13">
        <f t="shared" si="6"/>
        <v>548770658</v>
      </c>
      <c r="J202" s="13">
        <f t="shared" si="7"/>
        <v>130932368</v>
      </c>
    </row>
    <row r="203" spans="1:10" ht="20" x14ac:dyDescent="0.35">
      <c r="A203" s="8" t="s">
        <v>7</v>
      </c>
      <c r="B203" s="9" t="s">
        <v>36</v>
      </c>
      <c r="C203" s="10"/>
      <c r="D203" s="8" t="s">
        <v>18</v>
      </c>
      <c r="E203" s="11">
        <v>116610275</v>
      </c>
      <c r="F203" s="11">
        <v>400497164</v>
      </c>
      <c r="G203" s="11">
        <v>175611716</v>
      </c>
      <c r="H203" s="11">
        <v>20092846</v>
      </c>
      <c r="I203" s="13">
        <f t="shared" si="6"/>
        <v>576108880</v>
      </c>
      <c r="J203" s="13">
        <f t="shared" si="7"/>
        <v>136703121</v>
      </c>
    </row>
    <row r="204" spans="1:10" ht="20" x14ac:dyDescent="0.35">
      <c r="A204" s="4" t="s">
        <v>7</v>
      </c>
      <c r="B204" s="5" t="s">
        <v>36</v>
      </c>
      <c r="C204" s="6"/>
      <c r="D204" s="4" t="s">
        <v>19</v>
      </c>
      <c r="E204" s="7">
        <v>113256076</v>
      </c>
      <c r="F204" s="7">
        <v>388597386</v>
      </c>
      <c r="G204" s="7">
        <v>164627034</v>
      </c>
      <c r="H204" s="7">
        <v>18893082</v>
      </c>
      <c r="I204" s="13">
        <f t="shared" si="6"/>
        <v>553224420</v>
      </c>
      <c r="J204" s="13">
        <f t="shared" si="7"/>
        <v>132149158</v>
      </c>
    </row>
    <row r="205" spans="1:10" ht="20" x14ac:dyDescent="0.35">
      <c r="A205" s="8" t="s">
        <v>7</v>
      </c>
      <c r="B205" s="9" t="s">
        <v>36</v>
      </c>
      <c r="C205" s="10"/>
      <c r="D205" s="8" t="s">
        <v>20</v>
      </c>
      <c r="E205" s="11">
        <v>116022850</v>
      </c>
      <c r="F205" s="11">
        <v>401462977</v>
      </c>
      <c r="G205" s="11">
        <v>175228783</v>
      </c>
      <c r="H205" s="11">
        <v>18758678</v>
      </c>
      <c r="I205" s="13">
        <f t="shared" si="6"/>
        <v>576691760</v>
      </c>
      <c r="J205" s="13">
        <f t="shared" si="7"/>
        <v>134781528</v>
      </c>
    </row>
    <row r="206" spans="1:10" ht="20" x14ac:dyDescent="0.35">
      <c r="A206" s="4" t="s">
        <v>7</v>
      </c>
      <c r="B206" s="5" t="s">
        <v>37</v>
      </c>
      <c r="C206" s="6"/>
      <c r="D206" s="4" t="s">
        <v>9</v>
      </c>
      <c r="E206" s="7">
        <v>113579796</v>
      </c>
      <c r="F206" s="7">
        <v>393347612</v>
      </c>
      <c r="G206" s="7">
        <v>172282793</v>
      </c>
      <c r="H206" s="7">
        <v>18183416</v>
      </c>
      <c r="I206" s="13">
        <f t="shared" si="6"/>
        <v>565630405</v>
      </c>
      <c r="J206" s="13">
        <f t="shared" si="7"/>
        <v>131763212</v>
      </c>
    </row>
    <row r="207" spans="1:10" ht="20" x14ac:dyDescent="0.35">
      <c r="A207" s="8" t="s">
        <v>7</v>
      </c>
      <c r="B207" s="9" t="s">
        <v>37</v>
      </c>
      <c r="C207" s="10"/>
      <c r="D207" s="8" t="s">
        <v>10</v>
      </c>
      <c r="E207" s="11">
        <v>102468565</v>
      </c>
      <c r="F207" s="11">
        <v>356215799</v>
      </c>
      <c r="G207" s="11">
        <v>158302018</v>
      </c>
      <c r="H207" s="11">
        <v>16754307</v>
      </c>
      <c r="I207" s="13">
        <f t="shared" si="6"/>
        <v>514517817</v>
      </c>
      <c r="J207" s="13">
        <f t="shared" si="7"/>
        <v>119222872</v>
      </c>
    </row>
    <row r="208" spans="1:10" ht="20" x14ac:dyDescent="0.35">
      <c r="A208" s="4" t="s">
        <v>7</v>
      </c>
      <c r="B208" s="5" t="s">
        <v>37</v>
      </c>
      <c r="C208" s="6"/>
      <c r="D208" s="4" t="s">
        <v>11</v>
      </c>
      <c r="E208" s="7">
        <v>114706614</v>
      </c>
      <c r="F208" s="7">
        <v>397624542</v>
      </c>
      <c r="G208" s="7">
        <v>176052487</v>
      </c>
      <c r="H208" s="7">
        <v>19243850</v>
      </c>
      <c r="I208" s="13">
        <f t="shared" si="6"/>
        <v>573677029</v>
      </c>
      <c r="J208" s="13">
        <f t="shared" si="7"/>
        <v>133950464</v>
      </c>
    </row>
    <row r="209" spans="1:10" ht="20" x14ac:dyDescent="0.35">
      <c r="A209" s="8" t="s">
        <v>7</v>
      </c>
      <c r="B209" s="9" t="s">
        <v>37</v>
      </c>
      <c r="C209" s="10"/>
      <c r="D209" s="8" t="s">
        <v>12</v>
      </c>
      <c r="E209" s="11">
        <v>112395824</v>
      </c>
      <c r="F209" s="11">
        <v>390763381</v>
      </c>
      <c r="G209" s="11">
        <v>171679274</v>
      </c>
      <c r="H209" s="11">
        <v>18882452</v>
      </c>
      <c r="I209" s="13">
        <f t="shared" si="6"/>
        <v>562442655</v>
      </c>
      <c r="J209" s="13">
        <f t="shared" si="7"/>
        <v>131278276</v>
      </c>
    </row>
    <row r="210" spans="1:10" ht="20" x14ac:dyDescent="0.35">
      <c r="A210" s="4" t="s">
        <v>7</v>
      </c>
      <c r="B210" s="5" t="s">
        <v>37</v>
      </c>
      <c r="C210" s="6"/>
      <c r="D210" s="4" t="s">
        <v>13</v>
      </c>
      <c r="E210" s="7">
        <v>114806244</v>
      </c>
      <c r="F210" s="7">
        <v>411998856</v>
      </c>
      <c r="G210" s="7">
        <v>184340499</v>
      </c>
      <c r="H210" s="7">
        <v>19754459</v>
      </c>
      <c r="I210" s="13">
        <f t="shared" si="6"/>
        <v>596339355</v>
      </c>
      <c r="J210" s="13">
        <f t="shared" si="7"/>
        <v>134560703</v>
      </c>
    </row>
    <row r="211" spans="1:10" ht="20" x14ac:dyDescent="0.35">
      <c r="A211" s="8" t="s">
        <v>7</v>
      </c>
      <c r="B211" s="9" t="s">
        <v>37</v>
      </c>
      <c r="C211" s="10"/>
      <c r="D211" s="8" t="s">
        <v>14</v>
      </c>
      <c r="E211" s="11">
        <v>111337060</v>
      </c>
      <c r="F211" s="11">
        <v>401692744</v>
      </c>
      <c r="G211" s="11">
        <v>175459035</v>
      </c>
      <c r="H211" s="11">
        <v>18135403</v>
      </c>
      <c r="I211" s="13">
        <f t="shared" si="6"/>
        <v>577151779</v>
      </c>
      <c r="J211" s="13">
        <f t="shared" si="7"/>
        <v>129472463</v>
      </c>
    </row>
    <row r="212" spans="1:10" ht="20" x14ac:dyDescent="0.35">
      <c r="A212" s="4" t="s">
        <v>7</v>
      </c>
      <c r="B212" s="5" t="s">
        <v>37</v>
      </c>
      <c r="C212" s="6"/>
      <c r="D212" s="4" t="s">
        <v>15</v>
      </c>
      <c r="E212" s="7">
        <v>114585871</v>
      </c>
      <c r="F212" s="7">
        <v>417577026</v>
      </c>
      <c r="G212" s="7">
        <v>188276619</v>
      </c>
      <c r="H212" s="7">
        <v>19962700</v>
      </c>
      <c r="I212" s="13">
        <f t="shared" si="6"/>
        <v>605853645</v>
      </c>
      <c r="J212" s="13">
        <f t="shared" si="7"/>
        <v>134548571</v>
      </c>
    </row>
    <row r="213" spans="1:10" ht="20" x14ac:dyDescent="0.35">
      <c r="A213" s="8" t="s">
        <v>7</v>
      </c>
      <c r="B213" s="9" t="s">
        <v>37</v>
      </c>
      <c r="C213" s="10"/>
      <c r="D213" s="8" t="s">
        <v>16</v>
      </c>
      <c r="E213" s="11">
        <v>113566702</v>
      </c>
      <c r="F213" s="11">
        <v>420080103</v>
      </c>
      <c r="G213" s="11">
        <v>189109302</v>
      </c>
      <c r="H213" s="11">
        <v>19489218</v>
      </c>
      <c r="I213" s="13">
        <f t="shared" si="6"/>
        <v>609189405</v>
      </c>
      <c r="J213" s="13">
        <f t="shared" si="7"/>
        <v>133055920</v>
      </c>
    </row>
    <row r="214" spans="1:10" ht="20" x14ac:dyDescent="0.35">
      <c r="A214" s="4" t="s">
        <v>7</v>
      </c>
      <c r="B214" s="5" t="s">
        <v>37</v>
      </c>
      <c r="C214" s="6"/>
      <c r="D214" s="4" t="s">
        <v>17</v>
      </c>
      <c r="E214" s="7">
        <v>109346726</v>
      </c>
      <c r="F214" s="7">
        <v>405689601</v>
      </c>
      <c r="G214" s="7">
        <v>176415669</v>
      </c>
      <c r="H214" s="7">
        <v>18078596</v>
      </c>
      <c r="I214" s="13">
        <f t="shared" si="6"/>
        <v>582105270</v>
      </c>
      <c r="J214" s="13">
        <f t="shared" si="7"/>
        <v>127425322</v>
      </c>
    </row>
    <row r="215" spans="1:10" ht="20" x14ac:dyDescent="0.35">
      <c r="A215" s="8" t="s">
        <v>7</v>
      </c>
      <c r="B215" s="9" t="s">
        <v>37</v>
      </c>
      <c r="C215" s="10"/>
      <c r="D215" s="8" t="s">
        <v>18</v>
      </c>
      <c r="E215" s="11">
        <v>111568439</v>
      </c>
      <c r="F215" s="11">
        <v>406908684</v>
      </c>
      <c r="G215" s="11">
        <v>165323987</v>
      </c>
      <c r="H215" s="11">
        <v>17860578</v>
      </c>
      <c r="I215" s="13">
        <f t="shared" si="6"/>
        <v>572232671</v>
      </c>
      <c r="J215" s="13">
        <f t="shared" si="7"/>
        <v>129429017</v>
      </c>
    </row>
    <row r="216" spans="1:10" ht="20" x14ac:dyDescent="0.35">
      <c r="A216" s="4" t="s">
        <v>7</v>
      </c>
      <c r="B216" s="5" t="s">
        <v>37</v>
      </c>
      <c r="C216" s="6"/>
      <c r="D216" s="4" t="s">
        <v>19</v>
      </c>
      <c r="E216" s="7">
        <v>108288128</v>
      </c>
      <c r="F216" s="7">
        <v>402405711</v>
      </c>
      <c r="G216" s="7">
        <v>164426730</v>
      </c>
      <c r="H216" s="7">
        <v>16775839</v>
      </c>
      <c r="I216" s="13">
        <f t="shared" si="6"/>
        <v>566832441</v>
      </c>
      <c r="J216" s="13">
        <f t="shared" si="7"/>
        <v>125063967</v>
      </c>
    </row>
    <row r="217" spans="1:10" ht="20" x14ac:dyDescent="0.35">
      <c r="A217" s="8" t="s">
        <v>7</v>
      </c>
      <c r="B217" s="9" t="s">
        <v>37</v>
      </c>
      <c r="C217" s="10"/>
      <c r="D217" s="8" t="s">
        <v>20</v>
      </c>
      <c r="E217" s="11">
        <v>110630609</v>
      </c>
      <c r="F217" s="11">
        <v>416817797</v>
      </c>
      <c r="G217" s="11">
        <v>171955289</v>
      </c>
      <c r="H217" s="11">
        <v>17096271</v>
      </c>
      <c r="I217" s="13">
        <f t="shared" si="6"/>
        <v>588773086</v>
      </c>
      <c r="J217" s="13">
        <f t="shared" si="7"/>
        <v>127726880</v>
      </c>
    </row>
    <row r="218" spans="1:10" ht="20" x14ac:dyDescent="0.35">
      <c r="A218" s="4" t="s">
        <v>7</v>
      </c>
      <c r="B218" s="5" t="s">
        <v>38</v>
      </c>
      <c r="C218" s="6"/>
      <c r="D218" s="4" t="s">
        <v>9</v>
      </c>
      <c r="E218" s="7">
        <v>96961459</v>
      </c>
      <c r="F218" s="7">
        <v>362462964</v>
      </c>
      <c r="G218" s="7">
        <v>162049357</v>
      </c>
      <c r="H218" s="7">
        <v>15951725</v>
      </c>
      <c r="I218" s="13">
        <f t="shared" si="6"/>
        <v>524512321</v>
      </c>
      <c r="J218" s="13">
        <f t="shared" si="7"/>
        <v>112913184</v>
      </c>
    </row>
  </sheetData>
  <mergeCells count="218">
    <mergeCell ref="B217:C217"/>
    <mergeCell ref="B218:C218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Dadheech</dc:creator>
  <cp:lastModifiedBy>Nikhil Dadheech</cp:lastModifiedBy>
  <dcterms:created xsi:type="dcterms:W3CDTF">2026-04-16T22:27:07Z</dcterms:created>
  <dcterms:modified xsi:type="dcterms:W3CDTF">2026-04-16T22:37:47Z</dcterms:modified>
</cp:coreProperties>
</file>